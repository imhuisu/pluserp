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lus jw\Desktop\"/>
    </mc:Choice>
  </mc:AlternateContent>
  <xr:revisionPtr revIDLastSave="0" documentId="13_ncr:1_{AE9ABD1D-5B96-4217-9B25-AE98496381C5}" xr6:coauthVersionLast="47" xr6:coauthVersionMax="47" xr10:uidLastSave="{00000000-0000-0000-0000-000000000000}"/>
  <bookViews>
    <workbookView xWindow="0" yWindow="360" windowWidth="38640" windowHeight="21120" tabRatio="373" xr2:uid="{375A5E02-C397-47C6-9FC0-7699BC4F524D}"/>
  </bookViews>
  <sheets>
    <sheet name="단열90 시스템도어" sheetId="4" r:id="rId1"/>
    <sheet name="비단열50 시스템도어" sheetId="8" r:id="rId2"/>
    <sheet name="수정(2)" sheetId="7" r:id="rId3"/>
  </sheets>
  <externalReferences>
    <externalReference r:id="rId4"/>
  </externalReferences>
  <definedNames>
    <definedName name="_xlnm.Print_Area" localSheetId="0">'단열90 시스템도어'!$A$1:$Y$45</definedName>
    <definedName name="_xlnm.Print_Area" localSheetId="1">'비단열50 시스템도어'!$A$1:$Y$45</definedName>
    <definedName name="_xlnm.Print_Area" localSheetId="2">'수정(2)'!#REF!</definedName>
    <definedName name="경첩방향">'단열90 시스템도어'!$B$17</definedName>
    <definedName name="경첩추가">'단열90 시스템도어'!$B$20</definedName>
    <definedName name="그림">'단열90 시스템도어'!$AE$23:$AF$31</definedName>
    <definedName name="모델">'수정(2)'!$A:$A</definedName>
    <definedName name="방향">'수정(2)'!$D:$D</definedName>
    <definedName name="시스템">'단열90 시스템도어'!$S$13</definedName>
    <definedName name="양개">'단열90 시스템도어'!$B$17</definedName>
    <definedName name="양개추가경첩">"추가좌,추가(좌)"</definedName>
    <definedName name="오사이사이즈">'단열90 시스템도어'!$AF$27</definedName>
    <definedName name="이미지범위">'수정(2)'!$B:$B</definedName>
    <definedName name="이미지범위2">'수정(2)'!$E:$E</definedName>
    <definedName name="이미지불러오기">INDEX(이미지범위,MATCH('단열90 시스템도어'!$AP$17,모델,0))</definedName>
    <definedName name="이미지불러오기2">INDEX(이미지범위2,MATCH('단열90 시스템도어'!$AP$18,방향,0))</definedName>
    <definedName name="이미지불러오기3" localSheetId="1">INDEX(이미지범위,MATCH('비단열50 시스템도어'!$AP$17,모델,0))</definedName>
    <definedName name="이미지불러오기4" localSheetId="1">INDEX(이미지범위2,MATCH('비단열50 시스템도어'!$AP$18,방향,0))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37" i="4" l="1"/>
  <c r="AH29" i="8" l="1"/>
  <c r="AH20" i="8"/>
  <c r="AO13" i="8" l="1"/>
  <c r="D20" i="8" s="1"/>
  <c r="AO13" i="4" l="1"/>
  <c r="D20" i="4" s="1"/>
  <c r="AU6" i="4"/>
  <c r="B24" i="8" l="1"/>
  <c r="B27" i="8" s="1"/>
  <c r="B30" i="8" l="1"/>
  <c r="AG7" i="8"/>
  <c r="AH27" i="8"/>
  <c r="AG27" i="8"/>
  <c r="AH18" i="8"/>
  <c r="AG18" i="8"/>
  <c r="AG29" i="8"/>
  <c r="AG20" i="8"/>
  <c r="B42" i="8" l="1"/>
  <c r="B38" i="8"/>
  <c r="F30" i="8"/>
  <c r="F28" i="8"/>
  <c r="F27" i="8"/>
  <c r="H26" i="8"/>
  <c r="F24" i="8"/>
  <c r="AN22" i="8"/>
  <c r="AJ18" i="8"/>
  <c r="AJ27" i="8" s="1"/>
  <c r="AI18" i="8"/>
  <c r="AI27" i="8" s="1"/>
  <c r="AO17" i="8"/>
  <c r="AI15" i="8"/>
  <c r="AI24" i="8" s="1"/>
  <c r="AO12" i="8"/>
  <c r="AP12" i="8" s="1"/>
  <c r="AH12" i="8"/>
  <c r="AO11" i="8"/>
  <c r="D24" i="8" s="1"/>
  <c r="AO10" i="8"/>
  <c r="AO9" i="8"/>
  <c r="H5" i="8"/>
  <c r="B5" i="8"/>
  <c r="H5" i="4"/>
  <c r="D30" i="8" l="1"/>
  <c r="D27" i="8"/>
  <c r="AP9" i="8"/>
  <c r="AP8" i="8"/>
  <c r="AP18" i="8" s="1"/>
  <c r="AP13" i="8"/>
  <c r="AI29" i="8"/>
  <c r="AI20" i="8"/>
  <c r="AP17" i="8"/>
  <c r="F27" i="4"/>
  <c r="AG7" i="4"/>
  <c r="F28" i="4"/>
  <c r="F24" i="4" l="1"/>
  <c r="AN22" i="4"/>
  <c r="H26" i="4" l="1"/>
  <c r="AJ18" i="4"/>
  <c r="AJ27" i="4" s="1"/>
  <c r="AI18" i="4"/>
  <c r="AI27" i="4" s="1"/>
  <c r="AI15" i="4"/>
  <c r="AI24" i="4" s="1"/>
  <c r="AO17" i="4" l="1"/>
  <c r="AO9" i="4" l="1"/>
  <c r="AP8" i="4" s="1"/>
  <c r="AP9" i="4" l="1"/>
  <c r="AO16" i="4"/>
  <c r="B42" i="4"/>
  <c r="B38" i="4"/>
  <c r="F30" i="4"/>
  <c r="AH29" i="4"/>
  <c r="AG29" i="4"/>
  <c r="B26" i="4"/>
  <c r="B32" i="4" s="1"/>
  <c r="AH20" i="4"/>
  <c r="AG20" i="4"/>
  <c r="AO12" i="4"/>
  <c r="AP12" i="4" s="1"/>
  <c r="AO11" i="4"/>
  <c r="D26" i="4" s="1"/>
  <c r="AO10" i="4"/>
  <c r="B25" i="4"/>
  <c r="AH12" i="4"/>
  <c r="B5" i="4"/>
  <c r="AP18" i="4" l="1"/>
  <c r="AP17" i="4"/>
  <c r="AP13" i="4"/>
  <c r="B31" i="4"/>
  <c r="B28" i="4"/>
  <c r="B29" i="4"/>
  <c r="D24" i="4"/>
  <c r="D27" i="4" s="1"/>
  <c r="D25" i="4"/>
  <c r="D28" i="4" s="1"/>
  <c r="D29" i="4"/>
  <c r="B24" i="4"/>
  <c r="B30" i="4" l="1"/>
  <c r="B27" i="4"/>
  <c r="D30" i="4"/>
  <c r="D31" i="4"/>
  <c r="D32" i="4"/>
  <c r="AT35" i="4" l="1"/>
  <c r="AU3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plus-st</author>
  </authors>
  <commentList>
    <comment ref="AE23" authorId="0" shapeId="0" xr:uid="{7421C275-C412-4C43-A21C-FAB7B7902884}">
      <text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plus-st</author>
  </authors>
  <commentList>
    <comment ref="AE23" authorId="0" shapeId="0" xr:uid="{2429FEE5-BE46-4F13-8F13-EFC2DBB6991A}">
      <text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<sst xmlns="http://schemas.openxmlformats.org/spreadsheetml/2006/main" count="285" uniqueCount="141">
  <si>
    <t>색상</t>
    <phoneticPr fontId="10" type="noConversion"/>
  </si>
  <si>
    <t>경첩방향</t>
    <phoneticPr fontId="10" type="noConversion"/>
  </si>
  <si>
    <t>레바키</t>
    <phoneticPr fontId="10" type="noConversion"/>
  </si>
  <si>
    <t>주문일</t>
    <phoneticPr fontId="10" type="noConversion"/>
  </si>
  <si>
    <t>유리두께</t>
    <phoneticPr fontId="10" type="noConversion"/>
  </si>
  <si>
    <t>주문확인사항</t>
    <phoneticPr fontId="10" type="noConversion"/>
  </si>
  <si>
    <t>사 이 즈</t>
    <phoneticPr fontId="10" type="noConversion"/>
  </si>
  <si>
    <t>거래처</t>
    <phoneticPr fontId="10" type="noConversion"/>
  </si>
  <si>
    <t>색    상</t>
    <phoneticPr fontId="10" type="noConversion"/>
  </si>
  <si>
    <t>색  상</t>
    <phoneticPr fontId="10" type="noConversion"/>
  </si>
  <si>
    <t>도어클로져유무</t>
    <phoneticPr fontId="10" type="noConversion"/>
  </si>
  <si>
    <t>도어체크</t>
    <phoneticPr fontId="10" type="noConversion"/>
  </si>
  <si>
    <t>Fix 사이즈</t>
    <phoneticPr fontId="10" type="noConversion"/>
  </si>
  <si>
    <t>가로</t>
    <phoneticPr fontId="10" type="noConversion"/>
  </si>
  <si>
    <t>세로</t>
    <phoneticPr fontId="10" type="noConversion"/>
  </si>
  <si>
    <t>가스켓</t>
    <phoneticPr fontId="10" type="noConversion"/>
  </si>
  <si>
    <t>문지방유무</t>
    <phoneticPr fontId="10" type="noConversion"/>
  </si>
  <si>
    <t>문 지 방</t>
    <phoneticPr fontId="10" type="noConversion"/>
  </si>
  <si>
    <t>손잡이높이</t>
    <phoneticPr fontId="10" type="noConversion"/>
  </si>
  <si>
    <t>후레임
사이즈</t>
    <phoneticPr fontId="25" type="noConversion"/>
  </si>
  <si>
    <t>세    로</t>
    <phoneticPr fontId="25" type="noConversion"/>
  </si>
  <si>
    <t>오사이</t>
    <phoneticPr fontId="10" type="noConversion"/>
  </si>
  <si>
    <t>오사이사이즈</t>
    <phoneticPr fontId="10" type="noConversion"/>
  </si>
  <si>
    <t>주사용
사이즈</t>
    <phoneticPr fontId="10" type="noConversion"/>
  </si>
  <si>
    <t>유리  사이즈</t>
    <phoneticPr fontId="10" type="noConversion"/>
  </si>
  <si>
    <t>잠금장치</t>
    <phoneticPr fontId="10" type="noConversion"/>
  </si>
  <si>
    <t>문지방 유무</t>
    <phoneticPr fontId="10" type="noConversion"/>
  </si>
  <si>
    <t>가로</t>
    <phoneticPr fontId="25" type="noConversion"/>
  </si>
  <si>
    <t>세로</t>
    <phoneticPr fontId="25" type="noConversion"/>
  </si>
  <si>
    <t>문  짝
사이즈</t>
    <phoneticPr fontId="25" type="noConversion"/>
  </si>
  <si>
    <t>오사이
사이즈</t>
    <phoneticPr fontId="10" type="noConversion"/>
  </si>
  <si>
    <t>유  리
사이즈</t>
    <phoneticPr fontId="25" type="noConversion"/>
  </si>
  <si>
    <t>* 후레임 사이즈 가로 750mm 이하는 매립형 도어 클로져 설치 불가.</t>
    <phoneticPr fontId="10" type="noConversion"/>
  </si>
  <si>
    <t>* 문지방없음, 낮은턱일 경우 손잡이 위치 확인할것. (장애인용일경우 850)</t>
    <phoneticPr fontId="10" type="noConversion"/>
  </si>
  <si>
    <t>특
이
사
항</t>
    <phoneticPr fontId="10" type="noConversion"/>
  </si>
  <si>
    <t>확   인</t>
    <phoneticPr fontId="10" type="noConversion"/>
  </si>
  <si>
    <t>작업 확인 사항</t>
    <phoneticPr fontId="10" type="noConversion"/>
  </si>
  <si>
    <t>확  인</t>
    <phoneticPr fontId="10" type="noConversion"/>
  </si>
  <si>
    <t>경첩 방향 확인</t>
    <phoneticPr fontId="10" type="noConversion"/>
  </si>
  <si>
    <t>경첩 개수 (2ea  / 3ea  / 4ea)</t>
    <phoneticPr fontId="10" type="noConversion"/>
  </si>
  <si>
    <t>※각친부위 하부 실리콘작업</t>
    <phoneticPr fontId="10" type="noConversion"/>
  </si>
  <si>
    <t>문열림/ 닫힘 확인</t>
    <phoneticPr fontId="10" type="noConversion"/>
  </si>
  <si>
    <t>유리두께/오사이 확인( 소 / 중 / 대 )</t>
    <phoneticPr fontId="10" type="noConversion"/>
  </si>
  <si>
    <t>키 잠금 상태 확인</t>
    <phoneticPr fontId="10" type="noConversion"/>
  </si>
  <si>
    <t>키 높이 확인</t>
    <phoneticPr fontId="10" type="noConversion"/>
  </si>
  <si>
    <t>1000 / 1100 /(        )</t>
    <phoneticPr fontId="10" type="noConversion"/>
  </si>
  <si>
    <t>도어클로져 작동 확인</t>
    <phoneticPr fontId="10" type="noConversion"/>
  </si>
  <si>
    <t>손잡이 높이</t>
    <phoneticPr fontId="10" type="noConversion"/>
  </si>
  <si>
    <t>개폐방향</t>
    <phoneticPr fontId="10" type="noConversion"/>
  </si>
  <si>
    <t>타공만</t>
    <phoneticPr fontId="10" type="noConversion"/>
  </si>
  <si>
    <t>1-있음/2-없음</t>
    <phoneticPr fontId="10" type="noConversion"/>
  </si>
  <si>
    <t>1-기본/2-없음/3-낮은턱</t>
    <phoneticPr fontId="10" type="noConversion"/>
  </si>
  <si>
    <t>모델</t>
    <phoneticPr fontId="25" type="noConversion"/>
  </si>
  <si>
    <t>이미지범위</t>
    <phoneticPr fontId="25" type="noConversion"/>
  </si>
  <si>
    <t>주사용문</t>
    <phoneticPr fontId="10" type="noConversion"/>
  </si>
  <si>
    <t>손잡이</t>
    <phoneticPr fontId="10" type="noConversion"/>
  </si>
  <si>
    <t>좌0레바키</t>
    <phoneticPr fontId="10" type="noConversion"/>
  </si>
  <si>
    <t>좌0전자키(아신)</t>
    <phoneticPr fontId="10" type="noConversion"/>
  </si>
  <si>
    <t>우0레바키</t>
    <phoneticPr fontId="10" type="noConversion"/>
  </si>
  <si>
    <t>우0전자키(아신)</t>
    <phoneticPr fontId="10" type="noConversion"/>
  </si>
  <si>
    <t>양개우레바키</t>
  </si>
  <si>
    <t>양개우전자키(아신)</t>
  </si>
  <si>
    <t>양개좌레바키</t>
    <phoneticPr fontId="10" type="noConversion"/>
  </si>
  <si>
    <t>양개좌전자키(아신)</t>
    <phoneticPr fontId="10" type="noConversion"/>
  </si>
  <si>
    <t>좌0out</t>
    <phoneticPr fontId="10" type="noConversion"/>
  </si>
  <si>
    <t>우0out</t>
    <phoneticPr fontId="10" type="noConversion"/>
  </si>
  <si>
    <t>양개좌out</t>
    <phoneticPr fontId="10" type="noConversion"/>
  </si>
  <si>
    <t>우0in</t>
    <phoneticPr fontId="10" type="noConversion"/>
  </si>
  <si>
    <t>좌0in</t>
    <phoneticPr fontId="10" type="noConversion"/>
  </si>
  <si>
    <t>양개우out</t>
    <phoneticPr fontId="10" type="noConversion"/>
  </si>
  <si>
    <t>양개좌in</t>
    <phoneticPr fontId="10" type="noConversion"/>
  </si>
  <si>
    <t>방향</t>
    <phoneticPr fontId="10" type="noConversion"/>
  </si>
  <si>
    <t>이미지범위2</t>
    <phoneticPr fontId="10" type="noConversion"/>
  </si>
  <si>
    <t>출고일</t>
    <phoneticPr fontId="10" type="noConversion"/>
  </si>
  <si>
    <t>양개우in</t>
    <phoneticPr fontId="10" type="noConversion"/>
  </si>
  <si>
    <t>좌0타공만</t>
    <phoneticPr fontId="10" type="noConversion"/>
  </si>
  <si>
    <t>우0타공만</t>
    <phoneticPr fontId="10" type="noConversion"/>
  </si>
  <si>
    <t>양개좌타공만</t>
    <phoneticPr fontId="10" type="noConversion"/>
  </si>
  <si>
    <t>양개우타공만</t>
    <phoneticPr fontId="10" type="noConversion"/>
  </si>
  <si>
    <t>확 인</t>
    <phoneticPr fontId="10" type="noConversion"/>
  </si>
  <si>
    <t>작업지시서 출력</t>
    <phoneticPr fontId="10" type="noConversion"/>
  </si>
  <si>
    <t>문짝가스켓</t>
    <phoneticPr fontId="10" type="noConversion"/>
  </si>
  <si>
    <t>오사이 가스켓</t>
    <phoneticPr fontId="10" type="noConversion"/>
  </si>
  <si>
    <t>유리사이즈</t>
    <phoneticPr fontId="10" type="noConversion"/>
  </si>
  <si>
    <t>대</t>
    <phoneticPr fontId="10" type="noConversion"/>
  </si>
  <si>
    <t>중</t>
    <phoneticPr fontId="10" type="noConversion"/>
  </si>
  <si>
    <t>소</t>
    <phoneticPr fontId="10" type="noConversion"/>
  </si>
  <si>
    <t>실버</t>
    <phoneticPr fontId="10" type="noConversion"/>
  </si>
  <si>
    <t>블랙</t>
    <phoneticPr fontId="10" type="noConversion"/>
  </si>
  <si>
    <t>백색</t>
    <phoneticPr fontId="10" type="noConversion"/>
  </si>
  <si>
    <t>도장</t>
    <phoneticPr fontId="10" type="noConversion"/>
  </si>
  <si>
    <t>가    로</t>
    <phoneticPr fontId="25" type="noConversion"/>
  </si>
  <si>
    <t>* 후레임 사이즈 세로 1800mm 이하는 경첩2개 부착</t>
    <phoneticPr fontId="10" type="noConversion"/>
  </si>
  <si>
    <r>
      <rPr>
        <b/>
        <sz val="12"/>
        <rFont val="맑은 고딕"/>
        <family val="3"/>
        <charset val="129"/>
        <scheme val="major"/>
      </rPr>
      <t xml:space="preserve">출고일: </t>
    </r>
    <r>
      <rPr>
        <b/>
        <sz val="11"/>
        <rFont val="맑은 고딕"/>
        <family val="3"/>
        <charset val="129"/>
        <scheme val="major"/>
      </rPr>
      <t xml:space="preserve"> </t>
    </r>
    <r>
      <rPr>
        <sz val="11"/>
        <rFont val="맑은 고딕"/>
        <family val="3"/>
        <charset val="129"/>
        <scheme val="major"/>
      </rPr>
      <t xml:space="preserve">           </t>
    </r>
    <r>
      <rPr>
        <b/>
        <sz val="12"/>
        <rFont val="맑은 고딕"/>
        <family val="3"/>
        <charset val="129"/>
        <scheme val="major"/>
      </rPr>
      <t xml:space="preserve"> 2025 년         월          일        요일</t>
    </r>
    <phoneticPr fontId="10" type="noConversion"/>
  </si>
  <si>
    <t>문 열었을 때 내경(유효폭) w-135</t>
    <phoneticPr fontId="10" type="noConversion"/>
  </si>
  <si>
    <t>비단열50 FIX 작업지시서(벤트바)</t>
    <phoneticPr fontId="10" type="noConversion"/>
  </si>
  <si>
    <t>단열90 시스템 FIX 작업지시서(Fix바)</t>
    <phoneticPr fontId="10" type="noConversion"/>
  </si>
  <si>
    <t>없음</t>
    <phoneticPr fontId="10" type="noConversion"/>
  </si>
  <si>
    <t>매립 경첩</t>
    <phoneticPr fontId="10" type="noConversion"/>
  </si>
  <si>
    <t>좌out</t>
    <phoneticPr fontId="10" type="noConversion"/>
  </si>
  <si>
    <t>우out</t>
    <phoneticPr fontId="10" type="noConversion"/>
  </si>
  <si>
    <t>좌in</t>
    <phoneticPr fontId="10" type="noConversion"/>
  </si>
  <si>
    <t>우in</t>
    <phoneticPr fontId="10" type="noConversion"/>
  </si>
  <si>
    <t>좌레바키</t>
    <phoneticPr fontId="10" type="noConversion"/>
  </si>
  <si>
    <t>우레바키</t>
    <phoneticPr fontId="10" type="noConversion"/>
  </si>
  <si>
    <t>좌타공만</t>
    <phoneticPr fontId="10" type="noConversion"/>
  </si>
  <si>
    <t>우타공만</t>
    <phoneticPr fontId="10" type="noConversion"/>
  </si>
  <si>
    <t>전자키(MSD400B)</t>
    <phoneticPr fontId="10" type="noConversion"/>
  </si>
  <si>
    <t>우0전자키(MSD100)</t>
    <phoneticPr fontId="10" type="noConversion"/>
  </si>
  <si>
    <t>좌0전자키(MSD100)</t>
  </si>
  <si>
    <t>양개좌전자키(MSD100)</t>
  </si>
  <si>
    <t>양개우전자키(MSD100)</t>
  </si>
  <si>
    <t>좌전자키(MSD400B)</t>
    <phoneticPr fontId="10" type="noConversion"/>
  </si>
  <si>
    <t>우전자키(MSD400B)</t>
    <phoneticPr fontId="10" type="noConversion"/>
  </si>
  <si>
    <t>도어체크</t>
    <phoneticPr fontId="25" type="noConversion"/>
  </si>
  <si>
    <t>경첩수량</t>
    <phoneticPr fontId="10" type="noConversion"/>
  </si>
  <si>
    <t>매립형 도어클로져 부착</t>
    <phoneticPr fontId="10" type="noConversion"/>
  </si>
  <si>
    <t>경첩수량</t>
    <phoneticPr fontId="10" type="noConversion"/>
  </si>
  <si>
    <t>기본</t>
  </si>
  <si>
    <t>레바키</t>
  </si>
  <si>
    <t>* 후레임 사이즈 세로 2300mm 이하는 경첩2개 부착</t>
    <phoneticPr fontId="10" type="noConversion"/>
  </si>
  <si>
    <t>매립형 도어클로져 부착</t>
  </si>
  <si>
    <t>남승훈</t>
    <phoneticPr fontId="10" type="noConversion"/>
  </si>
  <si>
    <t>픽스 유리사이즈 높이 H-37 에서 H-98로 수정</t>
    <phoneticPr fontId="10" type="noConversion"/>
  </si>
  <si>
    <t>문높이 -2mm 수정</t>
    <phoneticPr fontId="10" type="noConversion"/>
  </si>
  <si>
    <t>밖으로 당기는문</t>
  </si>
  <si>
    <t>전자키(MSD400)</t>
    <phoneticPr fontId="10" type="noConversion"/>
  </si>
  <si>
    <t>우</t>
    <phoneticPr fontId="10" type="noConversion"/>
  </si>
  <si>
    <t xml:space="preserve">   2026 년      월      일    요일</t>
    <phoneticPr fontId="10" type="noConversion"/>
  </si>
  <si>
    <t>대</t>
    <phoneticPr fontId="10" type="noConversion"/>
  </si>
  <si>
    <t>우경첩</t>
    <phoneticPr fontId="10" type="noConversion"/>
  </si>
  <si>
    <t>ver.260513</t>
    <phoneticPr fontId="10" type="noConversion"/>
  </si>
  <si>
    <t xml:space="preserve">단열90 시스템도어 </t>
    <phoneticPr fontId="10" type="noConversion"/>
  </si>
  <si>
    <r>
      <rPr>
        <b/>
        <sz val="32"/>
        <color rgb="FFFF0000"/>
        <rFont val="맑은 고딕"/>
        <family val="3"/>
        <charset val="129"/>
        <scheme val="major"/>
      </rPr>
      <t xml:space="preserve">비단열50 </t>
    </r>
    <r>
      <rPr>
        <b/>
        <sz val="32"/>
        <rFont val="맑은 고딕"/>
        <family val="3"/>
        <charset val="129"/>
        <scheme val="major"/>
      </rPr>
      <t>시스템도어</t>
    </r>
    <phoneticPr fontId="10" type="noConversion"/>
  </si>
  <si>
    <t>ver.260514</t>
    <phoneticPr fontId="10" type="noConversion"/>
  </si>
  <si>
    <t>밖으로 당기는문</t>
    <phoneticPr fontId="10" type="noConversion"/>
  </si>
  <si>
    <t>익산)현대금속창호</t>
    <phoneticPr fontId="10" type="noConversion"/>
  </si>
  <si>
    <t>하부낮은턱</t>
  </si>
  <si>
    <t>기본</t>
    <phoneticPr fontId="10" type="noConversion"/>
  </si>
  <si>
    <t>경기광주)우드센스아르데코</t>
    <phoneticPr fontId="10" type="noConversion"/>
  </si>
  <si>
    <t>우경첩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</si>
</sst>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#####&quot;  mm&quot;"/>
    <numFmt numFmtId="177" formatCode="######&quot;   mm&quot;"/>
    <numFmt numFmtId="178" formatCode="######&quot;  mm   X&quot;"/>
    <numFmt numFmtId="179" formatCode="######&quot;    X&quot;"/>
    <numFmt numFmtId="180" formatCode="0_);[Red]\(0\)"/>
    <numFmt numFmtId="181" formatCode="0_ "/>
    <numFmt numFmtId="182" formatCode="######&quot; mm&quot;"/>
  </numFmts>
  <fonts count="75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26"/>
      <name val="굴림체"/>
      <family val="3"/>
      <charset val="129"/>
    </font>
    <font>
      <sz val="8"/>
      <name val="돋움"/>
      <family val="3"/>
      <charset val="129"/>
    </font>
    <font>
      <sz val="12"/>
      <name val="굴림체"/>
      <family val="3"/>
      <charset val="129"/>
    </font>
    <font>
      <sz val="12"/>
      <color theme="1"/>
      <name val="맑은 고딕"/>
      <family val="2"/>
      <charset val="129"/>
      <scheme val="minor"/>
    </font>
    <font>
      <sz val="9"/>
      <name val="굴림체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FF0000"/>
      <name val="돋움"/>
      <family val="3"/>
      <charset val="129"/>
    </font>
    <font>
      <b/>
      <sz val="11"/>
      <name val="돋움"/>
      <family val="3"/>
      <charset val="129"/>
    </font>
    <font>
      <b/>
      <sz val="18"/>
      <color theme="1"/>
      <name val="맑은 고딕"/>
      <family val="3"/>
      <charset val="129"/>
      <scheme val="minor"/>
    </font>
    <font>
      <b/>
      <sz val="10"/>
      <color rgb="FFFF0000"/>
      <name val="돋움"/>
      <family val="3"/>
      <charset val="129"/>
    </font>
    <font>
      <b/>
      <sz val="14"/>
      <color rgb="FF2405E1"/>
      <name val="맑은 고딕"/>
      <family val="3"/>
      <charset val="129"/>
      <scheme val="minor"/>
    </font>
    <font>
      <b/>
      <sz val="16"/>
      <color rgb="FFFF0000"/>
      <name val="돋움"/>
      <family val="3"/>
      <charset val="129"/>
    </font>
    <font>
      <sz val="20"/>
      <color rgb="FFFF0000"/>
      <name val="맑은 고딕"/>
      <family val="2"/>
      <charset val="129"/>
      <scheme val="minor"/>
    </font>
    <font>
      <b/>
      <sz val="14"/>
      <color rgb="FFFF0000"/>
      <name val="돋움"/>
      <family val="3"/>
      <charset val="129"/>
    </font>
    <font>
      <b/>
      <sz val="12"/>
      <color theme="3" tint="-0.249977111117893"/>
      <name val="맑은 고딕"/>
      <family val="3"/>
      <charset val="129"/>
      <scheme val="minor"/>
    </font>
    <font>
      <b/>
      <sz val="18"/>
      <color rgb="FFFF0000"/>
      <name val="돋움"/>
      <family val="3"/>
      <charset val="129"/>
    </font>
    <font>
      <b/>
      <sz val="14"/>
      <name val="돋움"/>
      <family val="3"/>
      <charset val="129"/>
    </font>
    <font>
      <b/>
      <sz val="24"/>
      <name val="돋움"/>
      <family val="3"/>
      <charset val="129"/>
    </font>
    <font>
      <b/>
      <sz val="16"/>
      <color rgb="FFFF0000"/>
      <name val="맑은 고딕"/>
      <family val="3"/>
      <charset val="129"/>
      <scheme val="major"/>
    </font>
    <font>
      <b/>
      <sz val="18"/>
      <color rgb="FF00B05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8"/>
      <color theme="7" tint="-0.249977111117893"/>
      <name val="맑은 고딕"/>
      <family val="3"/>
      <charset val="129"/>
      <scheme val="minor"/>
    </font>
    <font>
      <b/>
      <sz val="18"/>
      <color theme="3" tint="-0.249977111117893"/>
      <name val="맑은 고딕"/>
      <family val="3"/>
      <charset val="129"/>
      <scheme val="minor"/>
    </font>
    <font>
      <b/>
      <sz val="14"/>
      <color theme="9" tint="-0.249977111117893"/>
      <name val="맑은 고딕"/>
      <family val="3"/>
      <charset val="129"/>
      <scheme val="minor"/>
    </font>
    <font>
      <b/>
      <sz val="10"/>
      <color theme="1"/>
      <name val="굴림체"/>
      <family val="3"/>
      <charset val="129"/>
    </font>
    <font>
      <b/>
      <sz val="22"/>
      <color indexed="81"/>
      <name val="Tahoma"/>
      <family val="2"/>
    </font>
    <font>
      <b/>
      <sz val="22"/>
      <color indexed="81"/>
      <name val="돋움"/>
      <family val="3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rgb="FFFF0000"/>
      <name val="굴림체"/>
      <family val="3"/>
      <charset val="129"/>
    </font>
    <font>
      <sz val="14"/>
      <color theme="1"/>
      <name val="맑은 고딕"/>
      <family val="3"/>
      <charset val="129"/>
      <scheme val="minor"/>
    </font>
    <font>
      <b/>
      <sz val="30"/>
      <name val="굴림체"/>
      <family val="3"/>
      <charset val="129"/>
    </font>
    <font>
      <b/>
      <sz val="20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6"/>
      <color rgb="FFFF0000"/>
      <name val="맑은 고딕"/>
      <family val="2"/>
      <charset val="129"/>
      <scheme val="minor"/>
    </font>
    <font>
      <b/>
      <sz val="16"/>
      <name val="굴림체"/>
      <family val="3"/>
      <charset val="129"/>
    </font>
    <font>
      <b/>
      <sz val="32"/>
      <name val="맑은 고딕"/>
      <family val="3"/>
      <charset val="129"/>
      <scheme val="major"/>
    </font>
    <font>
      <b/>
      <sz val="32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1"/>
      <color rgb="FF002060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12"/>
      <color rgb="FFFF0000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sz val="16"/>
      <color theme="7" tint="-0.249977111117893"/>
      <name val="맑은 고딕"/>
      <family val="3"/>
      <charset val="129"/>
      <scheme val="minor"/>
    </font>
    <font>
      <b/>
      <sz val="32"/>
      <color rgb="FFFF0000"/>
      <name val="맑은 고딕"/>
      <family val="3"/>
      <charset val="129"/>
      <scheme val="major"/>
    </font>
    <font>
      <b/>
      <sz val="16"/>
      <color rgb="FF0070C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47" fillId="0" borderId="0">
      <alignment vertical="center"/>
    </xf>
    <xf numFmtId="41" fontId="47" fillId="0" borderId="0" applyFont="0" applyFill="0" applyBorder="0" applyAlignment="0" applyProtection="0">
      <alignment vertical="center"/>
    </xf>
  </cellStyleXfs>
  <cellXfs count="442">
    <xf numFmtId="0" fontId="0" fillId="0" borderId="0" xfId="0">
      <alignment vertical="center"/>
    </xf>
    <xf numFmtId="0" fontId="12" fillId="0" borderId="0" xfId="1" applyFont="1">
      <alignment vertical="center"/>
    </xf>
    <xf numFmtId="0" fontId="13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5" fillId="0" borderId="0" xfId="1" applyFont="1">
      <alignment vertical="center"/>
    </xf>
    <xf numFmtId="0" fontId="9" fillId="0" borderId="4" xfId="0" applyFont="1" applyBorder="1">
      <alignment vertical="center"/>
    </xf>
    <xf numFmtId="0" fontId="12" fillId="0" borderId="5" xfId="1" applyFont="1" applyBorder="1">
      <alignment vertical="center"/>
    </xf>
    <xf numFmtId="0" fontId="12" fillId="0" borderId="4" xfId="1" applyFont="1" applyBorder="1">
      <alignment vertical="center"/>
    </xf>
    <xf numFmtId="0" fontId="16" fillId="0" borderId="0" xfId="1" applyFont="1">
      <alignment vertical="center"/>
    </xf>
    <xf numFmtId="0" fontId="12" fillId="0" borderId="0" xfId="1" applyFont="1" applyAlignment="1">
      <alignment vertical="center" wrapText="1"/>
    </xf>
    <xf numFmtId="0" fontId="14" fillId="0" borderId="0" xfId="1" applyFont="1">
      <alignment vertical="center"/>
    </xf>
    <xf numFmtId="0" fontId="14" fillId="0" borderId="9" xfId="1" applyFont="1" applyBorder="1" applyAlignment="1">
      <alignment horizontal="center" vertical="center"/>
    </xf>
    <xf numFmtId="0" fontId="24" fillId="0" borderId="0" xfId="1" applyFont="1">
      <alignment vertical="center"/>
    </xf>
    <xf numFmtId="0" fontId="27" fillId="0" borderId="0" xfId="0" applyFont="1" applyAlignment="1">
      <alignment horizontal="center" vertical="center"/>
    </xf>
    <xf numFmtId="0" fontId="14" fillId="0" borderId="0" xfId="1" quotePrefix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4" fillId="0" borderId="0" xfId="1" quotePrefix="1" applyFont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12" fillId="3" borderId="6" xfId="1" applyFont="1" applyFill="1" applyBorder="1" applyAlignment="1">
      <alignment horizontal="left" vertical="center"/>
    </xf>
    <xf numFmtId="0" fontId="17" fillId="4" borderId="9" xfId="1" applyFont="1" applyFill="1" applyBorder="1" applyAlignment="1">
      <alignment horizontal="center" vertical="center"/>
    </xf>
    <xf numFmtId="0" fontId="12" fillId="0" borderId="0" xfId="1" applyFont="1" applyAlignment="1">
      <alignment horizontal="left" vertical="center"/>
    </xf>
    <xf numFmtId="0" fontId="12" fillId="0" borderId="0" xfId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1" fillId="0" borderId="4" xfId="1" applyFont="1" applyBorder="1" applyAlignment="1">
      <alignment horizontal="left" vertical="center"/>
    </xf>
    <xf numFmtId="0" fontId="27" fillId="0" borderId="4" xfId="0" applyFont="1" applyBorder="1" applyAlignment="1">
      <alignment horizontal="left" vertical="center"/>
    </xf>
    <xf numFmtId="0" fontId="44" fillId="0" borderId="0" xfId="1" applyFont="1">
      <alignment vertical="center"/>
    </xf>
    <xf numFmtId="0" fontId="11" fillId="0" borderId="0" xfId="0" applyFont="1">
      <alignment vertical="center"/>
    </xf>
    <xf numFmtId="0" fontId="14" fillId="0" borderId="21" xfId="1" applyFont="1" applyBorder="1">
      <alignment vertical="center"/>
    </xf>
    <xf numFmtId="0" fontId="14" fillId="0" borderId="9" xfId="1" applyFont="1" applyBorder="1" applyAlignment="1">
      <alignment horizontal="left" vertical="center"/>
    </xf>
    <xf numFmtId="0" fontId="7" fillId="0" borderId="0" xfId="2">
      <alignment vertical="center"/>
    </xf>
    <xf numFmtId="0" fontId="17" fillId="0" borderId="0" xfId="0" applyFont="1">
      <alignment vertical="center"/>
    </xf>
    <xf numFmtId="0" fontId="49" fillId="0" borderId="9" xfId="2" applyFont="1" applyBorder="1" applyAlignment="1">
      <alignment horizontal="center" vertical="center"/>
    </xf>
    <xf numFmtId="0" fontId="49" fillId="0" borderId="14" xfId="2" applyFont="1" applyBorder="1" applyAlignment="1">
      <alignment horizontal="center" vertical="center"/>
    </xf>
    <xf numFmtId="0" fontId="19" fillId="0" borderId="0" xfId="1" applyFont="1">
      <alignment vertical="center"/>
    </xf>
    <xf numFmtId="0" fontId="20" fillId="0" borderId="0" xfId="1" applyFont="1">
      <alignment vertical="center"/>
    </xf>
    <xf numFmtId="0" fontId="21" fillId="0" borderId="0" xfId="1" applyFont="1">
      <alignment vertical="center"/>
    </xf>
    <xf numFmtId="0" fontId="20" fillId="0" borderId="0" xfId="1" applyFont="1" applyAlignment="1">
      <alignment horizontal="center" vertical="center"/>
    </xf>
    <xf numFmtId="0" fontId="12" fillId="0" borderId="0" xfId="1" quotePrefix="1" applyFont="1">
      <alignment vertical="center"/>
    </xf>
    <xf numFmtId="0" fontId="12" fillId="0" borderId="0" xfId="1" quotePrefix="1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30" fillId="0" borderId="0" xfId="1" applyFont="1">
      <alignment vertical="center"/>
    </xf>
    <xf numFmtId="0" fontId="31" fillId="0" borderId="0" xfId="0" applyFont="1">
      <alignment vertical="center"/>
    </xf>
    <xf numFmtId="0" fontId="32" fillId="0" borderId="0" xfId="1" applyFont="1">
      <alignment vertical="center"/>
    </xf>
    <xf numFmtId="0" fontId="33" fillId="0" borderId="0" xfId="0" applyFont="1">
      <alignment vertical="center"/>
    </xf>
    <xf numFmtId="0" fontId="26" fillId="0" borderId="0" xfId="0" applyFont="1">
      <alignment vertical="center"/>
    </xf>
    <xf numFmtId="0" fontId="31" fillId="0" borderId="0" xfId="0" applyFont="1" applyAlignment="1">
      <alignment horizontal="center"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>
      <alignment vertical="center"/>
    </xf>
    <xf numFmtId="0" fontId="38" fillId="0" borderId="0" xfId="0" applyFont="1">
      <alignment vertical="center"/>
    </xf>
    <xf numFmtId="0" fontId="19" fillId="0" borderId="0" xfId="1" quotePrefix="1" applyFont="1">
      <alignment vertical="center"/>
    </xf>
    <xf numFmtId="0" fontId="22" fillId="0" borderId="0" xfId="1" quotePrefix="1" applyFont="1">
      <alignment vertical="center"/>
    </xf>
    <xf numFmtId="0" fontId="43" fillId="0" borderId="0" xfId="1" applyFont="1" applyAlignment="1">
      <alignment horizontal="left" vertical="center"/>
    </xf>
    <xf numFmtId="0" fontId="14" fillId="0" borderId="0" xfId="1" applyFont="1" applyAlignment="1">
      <alignment vertical="center" wrapText="1"/>
    </xf>
    <xf numFmtId="180" fontId="42" fillId="0" borderId="18" xfId="1" applyNumberFormat="1" applyFont="1" applyBorder="1" applyAlignment="1">
      <alignment horizontal="center"/>
    </xf>
    <xf numFmtId="0" fontId="51" fillId="0" borderId="0" xfId="1" applyFont="1" applyAlignment="1">
      <alignment horizontal="left" vertical="center"/>
    </xf>
    <xf numFmtId="0" fontId="51" fillId="0" borderId="0" xfId="1" applyFont="1">
      <alignment vertical="center"/>
    </xf>
    <xf numFmtId="0" fontId="51" fillId="0" borderId="0" xfId="1" applyFont="1" applyAlignment="1">
      <alignment horizontal="center" vertical="center"/>
    </xf>
    <xf numFmtId="0" fontId="51" fillId="0" borderId="0" xfId="2" applyFont="1">
      <alignment vertical="center"/>
    </xf>
    <xf numFmtId="0" fontId="28" fillId="2" borderId="9" xfId="1" applyFont="1" applyFill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0" fontId="54" fillId="5" borderId="9" xfId="0" applyFont="1" applyFill="1" applyBorder="1" applyAlignment="1">
      <alignment horizontal="center" vertical="center"/>
    </xf>
    <xf numFmtId="0" fontId="54" fillId="6" borderId="9" xfId="0" applyFont="1" applyFill="1" applyBorder="1" applyAlignment="1">
      <alignment horizontal="center" vertical="center"/>
    </xf>
    <xf numFmtId="0" fontId="54" fillId="7" borderId="9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48" fillId="0" borderId="0" xfId="2" applyFont="1">
      <alignment vertical="center"/>
    </xf>
    <xf numFmtId="0" fontId="12" fillId="0" borderId="9" xfId="1" applyFont="1" applyBorder="1">
      <alignment vertical="center"/>
    </xf>
    <xf numFmtId="0" fontId="48" fillId="0" borderId="0" xfId="2" applyFont="1" applyAlignment="1">
      <alignment horizontal="center" vertical="center"/>
    </xf>
    <xf numFmtId="0" fontId="12" fillId="0" borderId="27" xfId="1" applyFont="1" applyBorder="1">
      <alignment vertical="center"/>
    </xf>
    <xf numFmtId="0" fontId="7" fillId="0" borderId="0" xfId="2" applyAlignment="1">
      <alignment horizontal="center" vertical="center"/>
    </xf>
    <xf numFmtId="0" fontId="7" fillId="0" borderId="22" xfId="2" applyBorder="1">
      <alignment vertical="center"/>
    </xf>
    <xf numFmtId="0" fontId="48" fillId="0" borderId="26" xfId="2" applyFont="1" applyBorder="1" applyAlignment="1">
      <alignment horizontal="center" vertical="center"/>
    </xf>
    <xf numFmtId="0" fontId="48" fillId="0" borderId="8" xfId="2" applyFont="1" applyBorder="1">
      <alignment vertical="center"/>
    </xf>
    <xf numFmtId="0" fontId="12" fillId="0" borderId="22" xfId="1" applyFont="1" applyBorder="1">
      <alignment vertical="center"/>
    </xf>
    <xf numFmtId="0" fontId="5" fillId="0" borderId="0" xfId="2" applyFont="1">
      <alignment vertical="center"/>
    </xf>
    <xf numFmtId="0" fontId="52" fillId="0" borderId="4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2" fillId="0" borderId="5" xfId="1" applyFont="1" applyBorder="1" applyAlignment="1">
      <alignment horizontal="right" vertical="center"/>
    </xf>
    <xf numFmtId="0" fontId="9" fillId="0" borderId="0" xfId="0" applyFont="1">
      <alignment vertical="center"/>
    </xf>
    <xf numFmtId="0" fontId="61" fillId="0" borderId="26" xfId="0" applyFont="1" applyBorder="1" applyAlignment="1">
      <alignment vertical="center" wrapText="1"/>
    </xf>
    <xf numFmtId="0" fontId="61" fillId="0" borderId="7" xfId="0" applyFont="1" applyBorder="1" applyAlignment="1">
      <alignment vertical="center" wrapText="1"/>
    </xf>
    <xf numFmtId="0" fontId="61" fillId="0" borderId="7" xfId="0" applyFont="1" applyBorder="1">
      <alignment vertical="center"/>
    </xf>
    <xf numFmtId="0" fontId="62" fillId="0" borderId="14" xfId="1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3" fillId="0" borderId="31" xfId="0" applyFont="1" applyBorder="1">
      <alignment vertical="center"/>
    </xf>
    <xf numFmtId="0" fontId="63" fillId="0" borderId="27" xfId="0" applyFont="1" applyBorder="1">
      <alignment vertical="center"/>
    </xf>
    <xf numFmtId="0" fontId="61" fillId="0" borderId="35" xfId="0" applyFont="1" applyBorder="1">
      <alignment vertical="center"/>
    </xf>
    <xf numFmtId="0" fontId="61" fillId="0" borderId="0" xfId="0" applyFont="1">
      <alignment vertical="center"/>
    </xf>
    <xf numFmtId="0" fontId="64" fillId="0" borderId="16" xfId="1" applyFont="1" applyBorder="1">
      <alignment vertical="center"/>
    </xf>
    <xf numFmtId="0" fontId="65" fillId="0" borderId="35" xfId="0" applyFont="1" applyBorder="1">
      <alignment vertical="center"/>
    </xf>
    <xf numFmtId="0" fontId="65" fillId="0" borderId="0" xfId="0" applyFont="1">
      <alignment vertical="center"/>
    </xf>
    <xf numFmtId="0" fontId="65" fillId="0" borderId="23" xfId="0" applyFont="1" applyBorder="1">
      <alignment vertical="center"/>
    </xf>
    <xf numFmtId="0" fontId="64" fillId="0" borderId="19" xfId="1" applyFont="1" applyBorder="1">
      <alignment vertical="center"/>
    </xf>
    <xf numFmtId="0" fontId="66" fillId="0" borderId="42" xfId="0" applyFont="1" applyBorder="1" applyAlignment="1">
      <alignment horizontal="left" vertical="center"/>
    </xf>
    <xf numFmtId="0" fontId="66" fillId="0" borderId="43" xfId="0" applyFont="1" applyBorder="1" applyAlignment="1">
      <alignment horizontal="center" vertical="center"/>
    </xf>
    <xf numFmtId="0" fontId="65" fillId="0" borderId="43" xfId="0" applyFont="1" applyBorder="1">
      <alignment vertical="center"/>
    </xf>
    <xf numFmtId="0" fontId="65" fillId="0" borderId="44" xfId="0" applyFont="1" applyBorder="1">
      <alignment vertical="center"/>
    </xf>
    <xf numFmtId="0" fontId="67" fillId="0" borderId="35" xfId="0" applyFont="1" applyBorder="1">
      <alignment vertical="center"/>
    </xf>
    <xf numFmtId="0" fontId="67" fillId="0" borderId="0" xfId="0" applyFont="1">
      <alignment vertical="center"/>
    </xf>
    <xf numFmtId="0" fontId="65" fillId="0" borderId="47" xfId="0" applyFont="1" applyBorder="1">
      <alignment vertical="center"/>
    </xf>
    <xf numFmtId="0" fontId="65" fillId="0" borderId="48" xfId="0" applyFont="1" applyBorder="1">
      <alignment vertical="center"/>
    </xf>
    <xf numFmtId="0" fontId="65" fillId="0" borderId="49" xfId="0" applyFont="1" applyBorder="1">
      <alignment vertical="center"/>
    </xf>
    <xf numFmtId="0" fontId="61" fillId="0" borderId="35" xfId="0" quotePrefix="1" applyFont="1" applyBorder="1">
      <alignment vertical="center"/>
    </xf>
    <xf numFmtId="0" fontId="61" fillId="0" borderId="0" xfId="0" quotePrefix="1" applyFont="1">
      <alignment vertical="center"/>
    </xf>
    <xf numFmtId="0" fontId="65" fillId="0" borderId="51" xfId="0" applyFont="1" applyBorder="1">
      <alignment vertical="center"/>
    </xf>
    <xf numFmtId="0" fontId="65" fillId="0" borderId="52" xfId="0" applyFont="1" applyBorder="1">
      <alignment vertical="center"/>
    </xf>
    <xf numFmtId="0" fontId="65" fillId="0" borderId="53" xfId="0" applyFont="1" applyBorder="1">
      <alignment vertical="center"/>
    </xf>
    <xf numFmtId="0" fontId="61" fillId="0" borderId="28" xfId="0" applyFont="1" applyBorder="1">
      <alignment vertical="center"/>
    </xf>
    <xf numFmtId="0" fontId="61" fillId="0" borderId="21" xfId="0" applyFont="1" applyBorder="1">
      <alignment vertical="center"/>
    </xf>
    <xf numFmtId="0" fontId="65" fillId="0" borderId="42" xfId="0" applyFont="1" applyBorder="1">
      <alignment vertical="center"/>
    </xf>
    <xf numFmtId="0" fontId="63" fillId="0" borderId="61" xfId="0" applyFont="1" applyBorder="1">
      <alignment vertical="center"/>
    </xf>
    <xf numFmtId="0" fontId="65" fillId="0" borderId="62" xfId="0" applyFont="1" applyBorder="1">
      <alignment vertical="center"/>
    </xf>
    <xf numFmtId="0" fontId="69" fillId="0" borderId="63" xfId="0" applyFont="1" applyBorder="1">
      <alignment vertical="center"/>
    </xf>
    <xf numFmtId="0" fontId="69" fillId="0" borderId="64" xfId="0" applyFont="1" applyBorder="1">
      <alignment vertical="center"/>
    </xf>
    <xf numFmtId="0" fontId="62" fillId="0" borderId="9" xfId="1" applyFont="1" applyBorder="1" applyAlignment="1">
      <alignment horizontal="center" vertical="center"/>
    </xf>
    <xf numFmtId="0" fontId="62" fillId="0" borderId="36" xfId="1" applyFont="1" applyBorder="1">
      <alignment vertical="center"/>
    </xf>
    <xf numFmtId="0" fontId="61" fillId="0" borderId="35" xfId="0" applyFont="1" applyBorder="1" applyAlignment="1">
      <alignment vertical="center" wrapText="1"/>
    </xf>
    <xf numFmtId="0" fontId="61" fillId="0" borderId="0" xfId="0" applyFont="1" applyAlignment="1">
      <alignment vertical="center" wrapText="1"/>
    </xf>
    <xf numFmtId="0" fontId="64" fillId="0" borderId="39" xfId="1" applyFont="1" applyBorder="1">
      <alignment vertical="center"/>
    </xf>
    <xf numFmtId="0" fontId="64" fillId="0" borderId="46" xfId="1" applyFont="1" applyBorder="1">
      <alignment vertical="center"/>
    </xf>
    <xf numFmtId="0" fontId="61" fillId="0" borderId="19" xfId="0" applyFont="1" applyBorder="1" applyAlignment="1">
      <alignment vertical="center" wrapText="1"/>
    </xf>
    <xf numFmtId="0" fontId="61" fillId="0" borderId="17" xfId="0" applyFont="1" applyBorder="1" applyAlignment="1">
      <alignment horizontal="left" vertical="center" wrapText="1"/>
    </xf>
    <xf numFmtId="0" fontId="61" fillId="0" borderId="40" xfId="0" applyFont="1" applyBorder="1" applyAlignment="1">
      <alignment horizontal="left" vertical="center" wrapText="1"/>
    </xf>
    <xf numFmtId="0" fontId="61" fillId="0" borderId="41" xfId="0" applyFont="1" applyBorder="1" applyAlignment="1">
      <alignment horizontal="left" vertical="center" wrapText="1"/>
    </xf>
    <xf numFmtId="0" fontId="61" fillId="0" borderId="46" xfId="0" applyFont="1" applyBorder="1" applyAlignment="1">
      <alignment vertical="center" wrapText="1"/>
    </xf>
    <xf numFmtId="0" fontId="60" fillId="0" borderId="19" xfId="0" applyFont="1" applyBorder="1" applyAlignment="1">
      <alignment vertical="center" wrapText="1"/>
    </xf>
    <xf numFmtId="0" fontId="61" fillId="0" borderId="28" xfId="0" applyFont="1" applyBorder="1" applyAlignment="1">
      <alignment vertical="center" wrapText="1"/>
    </xf>
    <xf numFmtId="0" fontId="61" fillId="0" borderId="21" xfId="0" applyFont="1" applyBorder="1" applyAlignment="1">
      <alignment vertical="center" wrapText="1"/>
    </xf>
    <xf numFmtId="0" fontId="60" fillId="0" borderId="25" xfId="0" applyFont="1" applyBorder="1" applyAlignment="1">
      <alignment vertical="center" wrapText="1"/>
    </xf>
    <xf numFmtId="0" fontId="60" fillId="0" borderId="25" xfId="0" applyFont="1" applyBorder="1" applyAlignment="1">
      <alignment horizontal="center" vertical="center" wrapText="1"/>
    </xf>
    <xf numFmtId="0" fontId="61" fillId="0" borderId="24" xfId="0" applyFont="1" applyBorder="1" applyAlignment="1">
      <alignment horizontal="left" vertical="center" wrapText="1"/>
    </xf>
    <xf numFmtId="0" fontId="61" fillId="0" borderId="55" xfId="0" applyFont="1" applyBorder="1" applyAlignment="1">
      <alignment horizontal="left" vertical="center" wrapText="1"/>
    </xf>
    <xf numFmtId="0" fontId="61" fillId="0" borderId="56" xfId="0" applyFont="1" applyBorder="1" applyAlignment="1">
      <alignment horizontal="left" vertical="center" wrapText="1"/>
    </xf>
    <xf numFmtId="0" fontId="61" fillId="0" borderId="57" xfId="0" applyFont="1" applyBorder="1" applyAlignment="1">
      <alignment vertical="center" wrapText="1"/>
    </xf>
    <xf numFmtId="0" fontId="16" fillId="2" borderId="9" xfId="1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7" fillId="8" borderId="9" xfId="0" applyFont="1" applyFill="1" applyBorder="1" applyAlignment="1">
      <alignment horizontal="center" vertical="center"/>
    </xf>
    <xf numFmtId="0" fontId="54" fillId="8" borderId="9" xfId="0" applyFont="1" applyFill="1" applyBorder="1" applyAlignment="1">
      <alignment horizontal="center" vertical="center"/>
    </xf>
    <xf numFmtId="0" fontId="12" fillId="8" borderId="9" xfId="1" applyFont="1" applyFill="1" applyBorder="1" applyAlignment="1">
      <alignment horizontal="center" vertical="center"/>
    </xf>
    <xf numFmtId="0" fontId="12" fillId="9" borderId="9" xfId="1" applyFont="1" applyFill="1" applyBorder="1" applyAlignment="1">
      <alignment horizontal="center" vertical="center"/>
    </xf>
    <xf numFmtId="0" fontId="54" fillId="9" borderId="9" xfId="0" applyFont="1" applyFill="1" applyBorder="1" applyAlignment="1">
      <alignment horizontal="center" vertical="center"/>
    </xf>
    <xf numFmtId="0" fontId="17" fillId="8" borderId="9" xfId="1" applyFont="1" applyFill="1" applyBorder="1" applyAlignment="1">
      <alignment horizontal="center" vertical="center"/>
    </xf>
    <xf numFmtId="0" fontId="17" fillId="9" borderId="9" xfId="1" applyFont="1" applyFill="1" applyBorder="1" applyAlignment="1">
      <alignment horizontal="center" vertical="center"/>
    </xf>
    <xf numFmtId="0" fontId="48" fillId="0" borderId="26" xfId="2" applyFont="1" applyBorder="1">
      <alignment vertical="center"/>
    </xf>
    <xf numFmtId="0" fontId="6" fillId="0" borderId="0" xfId="2" applyFont="1">
      <alignment vertical="center"/>
    </xf>
    <xf numFmtId="0" fontId="4" fillId="0" borderId="0" xfId="2" applyFont="1">
      <alignment vertical="center"/>
    </xf>
    <xf numFmtId="0" fontId="12" fillId="0" borderId="14" xfId="1" applyFont="1" applyBorder="1">
      <alignment vertical="center"/>
    </xf>
    <xf numFmtId="0" fontId="14" fillId="0" borderId="9" xfId="1" applyFont="1" applyBorder="1">
      <alignment vertical="center"/>
    </xf>
    <xf numFmtId="0" fontId="14" fillId="0" borderId="9" xfId="1" applyFont="1" applyBorder="1" applyAlignment="1">
      <alignment vertical="center" wrapText="1"/>
    </xf>
    <xf numFmtId="0" fontId="4" fillId="0" borderId="9" xfId="2" applyFont="1" applyBorder="1">
      <alignment vertical="center"/>
    </xf>
    <xf numFmtId="0" fontId="7" fillId="0" borderId="9" xfId="2" applyBorder="1">
      <alignment vertical="center"/>
    </xf>
    <xf numFmtId="0" fontId="3" fillId="0" borderId="0" xfId="2" applyFont="1">
      <alignment vertical="center"/>
    </xf>
    <xf numFmtId="0" fontId="12" fillId="11" borderId="6" xfId="1" applyFont="1" applyFill="1" applyBorder="1" applyAlignment="1">
      <alignment horizontal="left" vertical="center"/>
    </xf>
    <xf numFmtId="0" fontId="17" fillId="11" borderId="9" xfId="1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17" fillId="2" borderId="6" xfId="1" applyFont="1" applyFill="1" applyBorder="1" applyAlignment="1">
      <alignment horizontal="center" vertical="center" wrapText="1"/>
    </xf>
    <xf numFmtId="0" fontId="74" fillId="0" borderId="22" xfId="1" applyFont="1" applyBorder="1" applyAlignment="1">
      <alignment horizontal="center" vertical="center"/>
    </xf>
    <xf numFmtId="0" fontId="1" fillId="0" borderId="0" xfId="2" applyFont="1">
      <alignment vertical="center"/>
    </xf>
    <xf numFmtId="0" fontId="17" fillId="10" borderId="6" xfId="1" applyFont="1" applyFill="1" applyBorder="1" applyAlignment="1">
      <alignment horizontal="center" vertical="center" wrapText="1"/>
    </xf>
    <xf numFmtId="0" fontId="7" fillId="12" borderId="0" xfId="2" applyFill="1">
      <alignment vertical="center"/>
    </xf>
    <xf numFmtId="41" fontId="7" fillId="0" borderId="0" xfId="5" applyFont="1">
      <alignment vertical="center"/>
    </xf>
    <xf numFmtId="0" fontId="70" fillId="0" borderId="20" xfId="0" applyFont="1" applyBorder="1" applyAlignment="1">
      <alignment horizontal="center" vertical="center"/>
    </xf>
    <xf numFmtId="0" fontId="70" fillId="0" borderId="7" xfId="0" applyFont="1" applyBorder="1" applyAlignment="1">
      <alignment horizontal="center" vertical="center"/>
    </xf>
    <xf numFmtId="0" fontId="70" fillId="0" borderId="58" xfId="0" applyFont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1" xfId="0" applyFont="1" applyBorder="1" applyAlignment="1">
      <alignment horizontal="center" vertical="center"/>
    </xf>
    <xf numFmtId="0" fontId="70" fillId="0" borderId="12" xfId="0" applyFont="1" applyBorder="1" applyAlignment="1">
      <alignment horizontal="center" vertical="center"/>
    </xf>
    <xf numFmtId="0" fontId="64" fillId="0" borderId="17" xfId="1" applyFont="1" applyBorder="1" applyAlignment="1">
      <alignment horizontal="left" vertical="center"/>
    </xf>
    <xf numFmtId="0" fontId="64" fillId="0" borderId="40" xfId="1" applyFont="1" applyBorder="1" applyAlignment="1">
      <alignment horizontal="left" vertical="center"/>
    </xf>
    <xf numFmtId="0" fontId="64" fillId="0" borderId="41" xfId="1" applyFont="1" applyBorder="1" applyAlignment="1">
      <alignment horizontal="left" vertical="center"/>
    </xf>
    <xf numFmtId="176" fontId="16" fillId="0" borderId="9" xfId="1" applyNumberFormat="1" applyFont="1" applyBorder="1" applyAlignment="1">
      <alignment horizontal="center" vertical="center"/>
    </xf>
    <xf numFmtId="0" fontId="53" fillId="0" borderId="20" xfId="1" applyFont="1" applyBorder="1" applyAlignment="1">
      <alignment horizontal="center" vertical="center"/>
    </xf>
    <xf numFmtId="0" fontId="53" fillId="0" borderId="8" xfId="1" applyFont="1" applyBorder="1" applyAlignment="1">
      <alignment horizontal="center" vertical="center"/>
    </xf>
    <xf numFmtId="0" fontId="19" fillId="0" borderId="66" xfId="1" applyFont="1" applyBorder="1" applyAlignment="1">
      <alignment horizontal="center" vertical="center" wrapText="1"/>
    </xf>
    <xf numFmtId="0" fontId="19" fillId="0" borderId="22" xfId="1" applyFont="1" applyBorder="1" applyAlignment="1">
      <alignment horizontal="center" vertical="center"/>
    </xf>
    <xf numFmtId="176" fontId="16" fillId="0" borderId="8" xfId="1" applyNumberFormat="1" applyFont="1" applyBorder="1" applyAlignment="1">
      <alignment horizontal="center" vertical="center"/>
    </xf>
    <xf numFmtId="176" fontId="16" fillId="0" borderId="23" xfId="1" applyNumberFormat="1" applyFont="1" applyBorder="1" applyAlignment="1">
      <alignment horizontal="center" vertical="center"/>
    </xf>
    <xf numFmtId="176" fontId="16" fillId="0" borderId="22" xfId="1" applyNumberFormat="1" applyFont="1" applyBorder="1" applyAlignment="1">
      <alignment horizontal="center" vertical="center"/>
    </xf>
    <xf numFmtId="178" fontId="16" fillId="0" borderId="26" xfId="1" applyNumberFormat="1" applyFont="1" applyBorder="1" applyAlignment="1">
      <alignment horizontal="center" vertical="center"/>
    </xf>
    <xf numFmtId="178" fontId="16" fillId="0" borderId="35" xfId="1" applyNumberFormat="1" applyFont="1" applyBorder="1" applyAlignment="1">
      <alignment horizontal="center" vertical="center"/>
    </xf>
    <xf numFmtId="178" fontId="16" fillId="0" borderId="28" xfId="1" applyNumberFormat="1" applyFont="1" applyBorder="1" applyAlignment="1">
      <alignment horizontal="center" vertical="center"/>
    </xf>
    <xf numFmtId="0" fontId="28" fillId="2" borderId="14" xfId="1" applyFont="1" applyFill="1" applyBorder="1" applyAlignment="1">
      <alignment horizontal="center" vertical="center"/>
    </xf>
    <xf numFmtId="0" fontId="28" fillId="2" borderId="27" xfId="1" applyFont="1" applyFill="1" applyBorder="1" applyAlignment="1">
      <alignment horizontal="center" vertical="center"/>
    </xf>
    <xf numFmtId="0" fontId="18" fillId="0" borderId="26" xfId="1" applyFont="1" applyBorder="1" applyAlignment="1">
      <alignment horizontal="center" vertical="center"/>
    </xf>
    <xf numFmtId="0" fontId="18" fillId="0" borderId="8" xfId="1" applyFont="1" applyBorder="1" applyAlignment="1">
      <alignment horizontal="center" vertical="center"/>
    </xf>
    <xf numFmtId="0" fontId="18" fillId="0" borderId="35" xfId="1" applyFont="1" applyBorder="1" applyAlignment="1">
      <alignment horizontal="center" vertical="center"/>
    </xf>
    <xf numFmtId="0" fontId="18" fillId="0" borderId="23" xfId="1" applyFont="1" applyBorder="1" applyAlignment="1">
      <alignment horizontal="center" vertical="center"/>
    </xf>
    <xf numFmtId="0" fontId="18" fillId="0" borderId="28" xfId="1" applyFont="1" applyBorder="1" applyAlignment="1">
      <alignment horizontal="center" vertical="center"/>
    </xf>
    <xf numFmtId="0" fontId="18" fillId="0" borderId="22" xfId="1" applyFont="1" applyBorder="1" applyAlignment="1">
      <alignment horizontal="center" vertical="center"/>
    </xf>
    <xf numFmtId="0" fontId="17" fillId="3" borderId="31" xfId="1" applyFont="1" applyFill="1" applyBorder="1" applyAlignment="1">
      <alignment horizontal="center" vertical="center"/>
    </xf>
    <xf numFmtId="0" fontId="17" fillId="3" borderId="27" xfId="1" applyFont="1" applyFill="1" applyBorder="1" applyAlignment="1">
      <alignment horizontal="center" vertical="center"/>
    </xf>
    <xf numFmtId="0" fontId="17" fillId="3" borderId="14" xfId="1" applyFont="1" applyFill="1" applyBorder="1" applyAlignment="1">
      <alignment horizontal="center" vertical="center"/>
    </xf>
    <xf numFmtId="182" fontId="23" fillId="0" borderId="7" xfId="1" applyNumberFormat="1" applyFont="1" applyBorder="1" applyAlignment="1">
      <alignment horizontal="center" vertical="center"/>
    </xf>
    <xf numFmtId="182" fontId="23" fillId="0" borderId="8" xfId="1" applyNumberFormat="1" applyFont="1" applyBorder="1" applyAlignment="1">
      <alignment horizontal="center" vertical="center"/>
    </xf>
    <xf numFmtId="182" fontId="23" fillId="0" borderId="21" xfId="1" applyNumberFormat="1" applyFont="1" applyBorder="1" applyAlignment="1">
      <alignment horizontal="center" vertical="center"/>
    </xf>
    <xf numFmtId="182" fontId="23" fillId="0" borderId="22" xfId="1" applyNumberFormat="1" applyFont="1" applyBorder="1" applyAlignment="1">
      <alignment horizontal="center" vertical="center"/>
    </xf>
    <xf numFmtId="177" fontId="28" fillId="0" borderId="7" xfId="1" applyNumberFormat="1" applyFont="1" applyBorder="1" applyAlignment="1">
      <alignment horizontal="center" vertical="center"/>
    </xf>
    <xf numFmtId="177" fontId="28" fillId="0" borderId="8" xfId="1" applyNumberFormat="1" applyFont="1" applyBorder="1" applyAlignment="1">
      <alignment horizontal="center" vertical="center"/>
    </xf>
    <xf numFmtId="177" fontId="28" fillId="0" borderId="21" xfId="1" applyNumberFormat="1" applyFont="1" applyBorder="1" applyAlignment="1">
      <alignment horizontal="center" vertical="center"/>
    </xf>
    <xf numFmtId="177" fontId="28" fillId="0" borderId="22" xfId="1" applyNumberFormat="1" applyFont="1" applyBorder="1" applyAlignment="1">
      <alignment horizontal="center" vertical="center"/>
    </xf>
    <xf numFmtId="0" fontId="22" fillId="0" borderId="8" xfId="1" applyFont="1" applyBorder="1" applyAlignment="1">
      <alignment horizontal="center" vertical="center" wrapText="1"/>
    </xf>
    <xf numFmtId="0" fontId="22" fillId="0" borderId="22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/>
    </xf>
    <xf numFmtId="0" fontId="42" fillId="0" borderId="27" xfId="1" applyFont="1" applyBorder="1" applyAlignment="1">
      <alignment horizontal="center" vertical="center"/>
    </xf>
    <xf numFmtId="0" fontId="17" fillId="2" borderId="6" xfId="1" applyFont="1" applyFill="1" applyBorder="1" applyAlignment="1">
      <alignment horizontal="center" vertical="center" wrapText="1"/>
    </xf>
    <xf numFmtId="0" fontId="17" fillId="2" borderId="6" xfId="1" applyFont="1" applyFill="1" applyBorder="1" applyAlignment="1">
      <alignment horizontal="center" vertical="center"/>
    </xf>
    <xf numFmtId="0" fontId="18" fillId="2" borderId="7" xfId="1" applyFont="1" applyFill="1" applyBorder="1" applyAlignment="1">
      <alignment horizontal="center" vertical="center"/>
    </xf>
    <xf numFmtId="0" fontId="18" fillId="2" borderId="8" xfId="1" applyFont="1" applyFill="1" applyBorder="1" applyAlignment="1">
      <alignment horizontal="center" vertical="center"/>
    </xf>
    <xf numFmtId="0" fontId="18" fillId="2" borderId="21" xfId="1" applyFont="1" applyFill="1" applyBorder="1" applyAlignment="1">
      <alignment horizontal="center" vertical="center"/>
    </xf>
    <xf numFmtId="0" fontId="18" fillId="2" borderId="22" xfId="1" applyFont="1" applyFill="1" applyBorder="1" applyAlignment="1">
      <alignment horizontal="center" vertical="center"/>
    </xf>
    <xf numFmtId="0" fontId="16" fillId="0" borderId="9" xfId="1" applyFont="1" applyBorder="1" applyAlignment="1">
      <alignment horizontal="center" vertical="center"/>
    </xf>
    <xf numFmtId="0" fontId="28" fillId="0" borderId="31" xfId="1" applyFont="1" applyBorder="1" applyAlignment="1">
      <alignment horizontal="center" vertical="center" wrapText="1"/>
    </xf>
    <xf numFmtId="0" fontId="28" fillId="0" borderId="31" xfId="1" applyFont="1" applyBorder="1" applyAlignment="1">
      <alignment horizontal="center" vertical="center"/>
    </xf>
    <xf numFmtId="176" fontId="16" fillId="0" borderId="27" xfId="1" applyNumberFormat="1" applyFont="1" applyBorder="1" applyAlignment="1">
      <alignment horizontal="center" vertical="center"/>
    </xf>
    <xf numFmtId="0" fontId="18" fillId="0" borderId="9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/>
    </xf>
    <xf numFmtId="0" fontId="17" fillId="0" borderId="27" xfId="1" applyFont="1" applyBorder="1" applyAlignment="1">
      <alignment horizontal="center" vertical="center"/>
    </xf>
    <xf numFmtId="176" fontId="17" fillId="0" borderId="27" xfId="1" applyNumberFormat="1" applyFont="1" applyBorder="1" applyAlignment="1">
      <alignment horizontal="center" vertical="center"/>
    </xf>
    <xf numFmtId="0" fontId="18" fillId="0" borderId="14" xfId="1" applyFont="1" applyBorder="1" applyAlignment="1">
      <alignment horizontal="center" vertical="center"/>
    </xf>
    <xf numFmtId="0" fontId="18" fillId="0" borderId="27" xfId="1" applyFont="1" applyBorder="1" applyAlignment="1">
      <alignment horizontal="center" vertical="center"/>
    </xf>
    <xf numFmtId="14" fontId="28" fillId="0" borderId="26" xfId="1" applyNumberFormat="1" applyFont="1" applyBorder="1" applyAlignment="1">
      <alignment horizontal="center" vertical="center"/>
    </xf>
    <xf numFmtId="14" fontId="28" fillId="0" borderId="7" xfId="1" applyNumberFormat="1" applyFont="1" applyBorder="1" applyAlignment="1">
      <alignment horizontal="center" vertical="center"/>
    </xf>
    <xf numFmtId="14" fontId="28" fillId="0" borderId="8" xfId="1" applyNumberFormat="1" applyFont="1" applyBorder="1" applyAlignment="1">
      <alignment horizontal="center" vertical="center"/>
    </xf>
    <xf numFmtId="14" fontId="28" fillId="0" borderId="28" xfId="1" applyNumberFormat="1" applyFont="1" applyBorder="1" applyAlignment="1">
      <alignment horizontal="center" vertical="center"/>
    </xf>
    <xf numFmtId="14" fontId="28" fillId="0" borderId="21" xfId="1" applyNumberFormat="1" applyFont="1" applyBorder="1" applyAlignment="1">
      <alignment horizontal="center" vertical="center"/>
    </xf>
    <xf numFmtId="14" fontId="28" fillId="0" borderId="22" xfId="1" applyNumberFormat="1" applyFont="1" applyBorder="1" applyAlignment="1">
      <alignment horizontal="center" vertical="center"/>
    </xf>
    <xf numFmtId="0" fontId="16" fillId="0" borderId="26" xfId="1" applyFont="1" applyBorder="1" applyAlignment="1">
      <alignment horizontal="center" vertical="center"/>
    </xf>
    <xf numFmtId="0" fontId="16" fillId="0" borderId="8" xfId="1" applyFont="1" applyBorder="1" applyAlignment="1">
      <alignment horizontal="center" vertical="center"/>
    </xf>
    <xf numFmtId="0" fontId="16" fillId="0" borderId="28" xfId="1" applyFont="1" applyBorder="1" applyAlignment="1">
      <alignment horizontal="center" vertical="center"/>
    </xf>
    <xf numFmtId="0" fontId="16" fillId="0" borderId="22" xfId="1" applyFont="1" applyBorder="1" applyAlignment="1">
      <alignment horizontal="center" vertical="center"/>
    </xf>
    <xf numFmtId="0" fontId="16" fillId="2" borderId="9" xfId="1" applyFont="1" applyFill="1" applyBorder="1" applyAlignment="1">
      <alignment horizontal="center" vertical="center"/>
    </xf>
    <xf numFmtId="0" fontId="16" fillId="2" borderId="14" xfId="1" applyFont="1" applyFill="1" applyBorder="1" applyAlignment="1">
      <alignment horizontal="center" vertical="center"/>
    </xf>
    <xf numFmtId="0" fontId="16" fillId="2" borderId="27" xfId="1" applyFont="1" applyFill="1" applyBorder="1" applyAlignment="1">
      <alignment horizontal="center" vertical="center"/>
    </xf>
    <xf numFmtId="0" fontId="16" fillId="0" borderId="35" xfId="1" applyFont="1" applyBorder="1" applyAlignment="1">
      <alignment horizontal="center" vertical="center"/>
    </xf>
    <xf numFmtId="0" fontId="16" fillId="0" borderId="23" xfId="1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17" fillId="0" borderId="6" xfId="1" applyFont="1" applyBorder="1" applyAlignment="1">
      <alignment horizontal="center" vertical="center"/>
    </xf>
    <xf numFmtId="14" fontId="28" fillId="0" borderId="9" xfId="1" applyNumberFormat="1" applyFont="1" applyBorder="1" applyAlignment="1">
      <alignment horizontal="center" vertical="center"/>
    </xf>
    <xf numFmtId="0" fontId="28" fillId="0" borderId="9" xfId="1" applyFont="1" applyBorder="1" applyAlignment="1">
      <alignment horizontal="center" vertical="center"/>
    </xf>
    <xf numFmtId="0" fontId="28" fillId="0" borderId="14" xfId="1" applyFont="1" applyBorder="1" applyAlignment="1">
      <alignment horizontal="center" vertical="center"/>
    </xf>
    <xf numFmtId="0" fontId="50" fillId="0" borderId="0" xfId="0" applyFont="1" applyAlignment="1">
      <alignment horizontal="center" vertical="top"/>
    </xf>
    <xf numFmtId="0" fontId="50" fillId="0" borderId="5" xfId="0" applyFont="1" applyBorder="1" applyAlignment="1">
      <alignment horizontal="center" vertical="top"/>
    </xf>
    <xf numFmtId="0" fontId="19" fillId="0" borderId="0" xfId="1" applyFont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4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57" fillId="0" borderId="10" xfId="0" applyFont="1" applyBorder="1" applyAlignment="1">
      <alignment horizontal="center" vertical="center"/>
    </xf>
    <xf numFmtId="0" fontId="57" fillId="0" borderId="11" xfId="0" applyFont="1" applyBorder="1" applyAlignment="1">
      <alignment horizontal="center" vertical="center"/>
    </xf>
    <xf numFmtId="0" fontId="57" fillId="0" borderId="12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58" fillId="0" borderId="2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0" borderId="5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 vertical="center"/>
    </xf>
    <xf numFmtId="0" fontId="58" fillId="0" borderId="11" xfId="0" applyFont="1" applyBorder="1" applyAlignment="1">
      <alignment horizontal="center" vertical="center"/>
    </xf>
    <xf numFmtId="0" fontId="58" fillId="0" borderId="12" xfId="0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/>
    </xf>
    <xf numFmtId="0" fontId="59" fillId="0" borderId="0" xfId="0" applyFont="1" applyAlignment="1">
      <alignment horizontal="center" vertical="top"/>
    </xf>
    <xf numFmtId="0" fontId="59" fillId="0" borderId="5" xfId="0" applyFont="1" applyBorder="1" applyAlignment="1">
      <alignment horizontal="center" vertical="top"/>
    </xf>
    <xf numFmtId="0" fontId="20" fillId="0" borderId="0" xfId="1" applyFont="1" applyAlignment="1">
      <alignment horizontal="center" vertical="center"/>
    </xf>
    <xf numFmtId="0" fontId="28" fillId="0" borderId="26" xfId="1" applyFont="1" applyBorder="1" applyAlignment="1">
      <alignment horizontal="center" vertical="center"/>
    </xf>
    <xf numFmtId="0" fontId="28" fillId="0" borderId="7" xfId="1" applyFont="1" applyBorder="1" applyAlignment="1">
      <alignment horizontal="center" vertical="center"/>
    </xf>
    <xf numFmtId="0" fontId="28" fillId="0" borderId="28" xfId="1" applyFont="1" applyBorder="1" applyAlignment="1">
      <alignment horizontal="center" vertical="center"/>
    </xf>
    <xf numFmtId="0" fontId="28" fillId="0" borderId="21" xfId="1" applyFont="1" applyBorder="1" applyAlignment="1">
      <alignment horizontal="center" vertical="center"/>
    </xf>
    <xf numFmtId="0" fontId="17" fillId="2" borderId="14" xfId="1" applyFont="1" applyFill="1" applyBorder="1" applyAlignment="1">
      <alignment horizontal="center" vertical="center" wrapText="1"/>
    </xf>
    <xf numFmtId="0" fontId="17" fillId="2" borderId="14" xfId="1" applyFont="1" applyFill="1" applyBorder="1" applyAlignment="1">
      <alignment horizontal="center" vertical="center"/>
    </xf>
    <xf numFmtId="0" fontId="18" fillId="2" borderId="26" xfId="1" applyFont="1" applyFill="1" applyBorder="1" applyAlignment="1">
      <alignment horizontal="center" vertical="center"/>
    </xf>
    <xf numFmtId="0" fontId="18" fillId="2" borderId="28" xfId="1" applyFont="1" applyFill="1" applyBorder="1" applyAlignment="1">
      <alignment horizontal="center" vertical="center"/>
    </xf>
    <xf numFmtId="180" fontId="39" fillId="0" borderId="7" xfId="1" applyNumberFormat="1" applyFont="1" applyBorder="1" applyAlignment="1">
      <alignment horizontal="center" vertical="center"/>
    </xf>
    <xf numFmtId="180" fontId="39" fillId="0" borderId="8" xfId="1" applyNumberFormat="1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79" fontId="23" fillId="0" borderId="26" xfId="1" applyNumberFormat="1" applyFont="1" applyBorder="1" applyAlignment="1">
      <alignment horizontal="right" vertical="center"/>
    </xf>
    <xf numFmtId="179" fontId="23" fillId="0" borderId="7" xfId="1" applyNumberFormat="1" applyFont="1" applyBorder="1" applyAlignment="1">
      <alignment horizontal="right" vertical="center"/>
    </xf>
    <xf numFmtId="179" fontId="23" fillId="0" borderId="28" xfId="1" applyNumberFormat="1" applyFont="1" applyBorder="1" applyAlignment="1">
      <alignment horizontal="right" vertical="center"/>
    </xf>
    <xf numFmtId="179" fontId="23" fillId="0" borderId="21" xfId="1" applyNumberFormat="1" applyFont="1" applyBorder="1" applyAlignment="1">
      <alignment horizontal="right" vertical="center"/>
    </xf>
    <xf numFmtId="0" fontId="23" fillId="0" borderId="0" xfId="1" applyFont="1" applyAlignment="1">
      <alignment horizontal="center" vertical="center"/>
    </xf>
    <xf numFmtId="0" fontId="23" fillId="0" borderId="23" xfId="1" applyFont="1" applyBorder="1" applyAlignment="1">
      <alignment horizontal="center" vertical="center"/>
    </xf>
    <xf numFmtId="0" fontId="23" fillId="0" borderId="21" xfId="1" applyFont="1" applyBorder="1" applyAlignment="1">
      <alignment horizontal="center" vertical="center"/>
    </xf>
    <xf numFmtId="0" fontId="23" fillId="0" borderId="22" xfId="1" applyFont="1" applyBorder="1" applyAlignment="1">
      <alignment horizontal="center" vertical="center"/>
    </xf>
    <xf numFmtId="178" fontId="17" fillId="0" borderId="14" xfId="1" applyNumberFormat="1" applyFont="1" applyBorder="1" applyAlignment="1">
      <alignment horizontal="center" vertical="center"/>
    </xf>
    <xf numFmtId="178" fontId="16" fillId="0" borderId="14" xfId="1" applyNumberFormat="1" applyFont="1" applyBorder="1" applyAlignment="1">
      <alignment horizontal="center" vertical="center"/>
    </xf>
    <xf numFmtId="0" fontId="17" fillId="2" borderId="9" xfId="1" applyFont="1" applyFill="1" applyBorder="1" applyAlignment="1">
      <alignment horizontal="center" vertical="center"/>
    </xf>
    <xf numFmtId="0" fontId="16" fillId="0" borderId="18" xfId="1" applyFont="1" applyBorder="1" applyAlignment="1">
      <alignment horizontal="center" vertical="center"/>
    </xf>
    <xf numFmtId="0" fontId="16" fillId="0" borderId="30" xfId="1" applyFont="1" applyBorder="1" applyAlignment="1">
      <alignment horizontal="center" vertical="center"/>
    </xf>
    <xf numFmtId="0" fontId="16" fillId="0" borderId="29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0" fontId="17" fillId="0" borderId="29" xfId="1" applyFont="1" applyBorder="1" applyAlignment="1">
      <alignment horizontal="center" vertical="center"/>
    </xf>
    <xf numFmtId="0" fontId="34" fillId="2" borderId="18" xfId="1" applyFont="1" applyFill="1" applyBorder="1" applyAlignment="1">
      <alignment horizontal="center" vertical="center"/>
    </xf>
    <xf numFmtId="0" fontId="34" fillId="2" borderId="29" xfId="1" applyFont="1" applyFill="1" applyBorder="1" applyAlignment="1">
      <alignment horizontal="center" vertical="center"/>
    </xf>
    <xf numFmtId="0" fontId="22" fillId="0" borderId="9" xfId="1" applyFont="1" applyBorder="1" applyAlignment="1">
      <alignment horizontal="center" vertical="center"/>
    </xf>
    <xf numFmtId="0" fontId="74" fillId="0" borderId="14" xfId="1" applyFont="1" applyBorder="1" applyAlignment="1">
      <alignment horizontal="center" vertical="center"/>
    </xf>
    <xf numFmtId="0" fontId="74" fillId="0" borderId="27" xfId="1" applyFont="1" applyBorder="1" applyAlignment="1">
      <alignment horizontal="center" vertical="center"/>
    </xf>
    <xf numFmtId="179" fontId="39" fillId="0" borderId="14" xfId="1" applyNumberFormat="1" applyFont="1" applyBorder="1" applyAlignment="1">
      <alignment horizontal="right" vertical="center"/>
    </xf>
    <xf numFmtId="179" fontId="39" fillId="0" borderId="31" xfId="1" applyNumberFormat="1" applyFont="1" applyBorder="1" applyAlignment="1">
      <alignment horizontal="right" vertical="center"/>
    </xf>
    <xf numFmtId="180" fontId="39" fillId="0" borderId="31" xfId="1" applyNumberFormat="1" applyFont="1" applyBorder="1" applyAlignment="1">
      <alignment horizontal="center" vertical="center"/>
    </xf>
    <xf numFmtId="180" fontId="39" fillId="0" borderId="27" xfId="1" applyNumberFormat="1" applyFont="1" applyBorder="1" applyAlignment="1">
      <alignment horizontal="center" vertical="center"/>
    </xf>
    <xf numFmtId="0" fontId="19" fillId="0" borderId="0" xfId="1" quotePrefix="1" applyFont="1" applyAlignment="1">
      <alignment horizontal="center" vertical="center"/>
    </xf>
    <xf numFmtId="0" fontId="28" fillId="0" borderId="18" xfId="1" applyFont="1" applyBorder="1" applyAlignment="1">
      <alignment horizontal="center" vertical="center"/>
    </xf>
    <xf numFmtId="0" fontId="28" fillId="0" borderId="29" xfId="1" applyFont="1" applyBorder="1" applyAlignment="1">
      <alignment horizontal="center" vertical="center"/>
    </xf>
    <xf numFmtId="179" fontId="39" fillId="0" borderId="26" xfId="1" applyNumberFormat="1" applyFont="1" applyBorder="1" applyAlignment="1">
      <alignment horizontal="right" vertical="center"/>
    </xf>
    <xf numFmtId="179" fontId="39" fillId="0" borderId="7" xfId="1" applyNumberFormat="1" applyFont="1" applyBorder="1" applyAlignment="1">
      <alignment horizontal="right" vertical="center"/>
    </xf>
    <xf numFmtId="0" fontId="55" fillId="0" borderId="0" xfId="1" applyFont="1" applyAlignment="1">
      <alignment horizontal="center" vertical="center"/>
    </xf>
    <xf numFmtId="0" fontId="63" fillId="0" borderId="14" xfId="0" applyFont="1" applyBorder="1" applyAlignment="1">
      <alignment horizontal="center" vertical="center"/>
    </xf>
    <xf numFmtId="0" fontId="63" fillId="0" borderId="31" xfId="0" applyFont="1" applyBorder="1" applyAlignment="1">
      <alignment horizontal="center" vertical="center"/>
    </xf>
    <xf numFmtId="0" fontId="63" fillId="0" borderId="36" xfId="0" applyFont="1" applyBorder="1" applyAlignment="1">
      <alignment horizontal="center" vertical="center"/>
    </xf>
    <xf numFmtId="0" fontId="60" fillId="0" borderId="32" xfId="0" applyFont="1" applyBorder="1" applyAlignment="1">
      <alignment horizontal="center" vertical="center" wrapText="1"/>
    </xf>
    <xf numFmtId="0" fontId="60" fillId="0" borderId="33" xfId="0" applyFont="1" applyBorder="1" applyAlignment="1">
      <alignment horizontal="center" vertical="center" wrapText="1"/>
    </xf>
    <xf numFmtId="0" fontId="60" fillId="0" borderId="34" xfId="0" applyFont="1" applyBorder="1" applyAlignment="1">
      <alignment horizontal="center" vertical="center" wrapText="1"/>
    </xf>
    <xf numFmtId="0" fontId="18" fillId="2" borderId="6" xfId="1" applyFont="1" applyFill="1" applyBorder="1" applyAlignment="1">
      <alignment horizontal="center" vertical="center"/>
    </xf>
    <xf numFmtId="0" fontId="18" fillId="2" borderId="9" xfId="1" applyFont="1" applyFill="1" applyBorder="1" applyAlignment="1">
      <alignment horizontal="center" vertical="center"/>
    </xf>
    <xf numFmtId="0" fontId="64" fillId="0" borderId="15" xfId="1" applyFont="1" applyBorder="1" applyAlignment="1">
      <alignment horizontal="left" vertical="center"/>
    </xf>
    <xf numFmtId="0" fontId="64" fillId="0" borderId="37" xfId="1" applyFont="1" applyBorder="1" applyAlignment="1">
      <alignment horizontal="left" vertical="center"/>
    </xf>
    <xf numFmtId="0" fontId="64" fillId="0" borderId="38" xfId="1" applyFont="1" applyBorder="1" applyAlignment="1">
      <alignment horizontal="left" vertical="center"/>
    </xf>
    <xf numFmtId="0" fontId="64" fillId="0" borderId="40" xfId="1" applyFont="1" applyBorder="1" applyAlignment="1">
      <alignment horizontal="center" vertical="center"/>
    </xf>
    <xf numFmtId="0" fontId="64" fillId="0" borderId="41" xfId="1" applyFont="1" applyBorder="1" applyAlignment="1">
      <alignment horizontal="center" vertical="center"/>
    </xf>
    <xf numFmtId="0" fontId="17" fillId="0" borderId="6" xfId="1" applyFont="1" applyBorder="1" applyAlignment="1">
      <alignment horizontal="center" vertical="center" wrapText="1"/>
    </xf>
    <xf numFmtId="0" fontId="17" fillId="0" borderId="32" xfId="1" applyFont="1" applyBorder="1" applyAlignment="1">
      <alignment horizontal="center" vertical="center"/>
    </xf>
    <xf numFmtId="179" fontId="40" fillId="0" borderId="14" xfId="1" applyNumberFormat="1" applyFont="1" applyBorder="1" applyAlignment="1">
      <alignment horizontal="right" vertical="center"/>
    </xf>
    <xf numFmtId="179" fontId="40" fillId="0" borderId="31" xfId="1" applyNumberFormat="1" applyFont="1" applyBorder="1" applyAlignment="1">
      <alignment horizontal="right" vertical="center"/>
    </xf>
    <xf numFmtId="180" fontId="40" fillId="0" borderId="31" xfId="1" applyNumberFormat="1" applyFont="1" applyBorder="1" applyAlignment="1">
      <alignment horizontal="center" vertical="center"/>
    </xf>
    <xf numFmtId="180" fontId="40" fillId="0" borderId="27" xfId="1" applyNumberFormat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 wrapText="1"/>
    </xf>
    <xf numFmtId="0" fontId="17" fillId="0" borderId="33" xfId="1" applyFont="1" applyBorder="1" applyAlignment="1">
      <alignment horizontal="center" vertical="center" wrapText="1"/>
    </xf>
    <xf numFmtId="0" fontId="17" fillId="0" borderId="34" xfId="1" applyFont="1" applyBorder="1" applyAlignment="1">
      <alignment horizontal="center" vertical="center" wrapText="1"/>
    </xf>
    <xf numFmtId="179" fontId="41" fillId="0" borderId="26" xfId="1" applyNumberFormat="1" applyFont="1" applyBorder="1" applyAlignment="1">
      <alignment horizontal="right" vertical="center"/>
    </xf>
    <xf numFmtId="179" fontId="41" fillId="0" borderId="7" xfId="1" applyNumberFormat="1" applyFont="1" applyBorder="1" applyAlignment="1">
      <alignment horizontal="right" vertical="center"/>
    </xf>
    <xf numFmtId="181" fontId="41" fillId="0" borderId="7" xfId="1" applyNumberFormat="1" applyFont="1" applyBorder="1" applyAlignment="1">
      <alignment horizontal="center" vertical="center"/>
    </xf>
    <xf numFmtId="181" fontId="41" fillId="0" borderId="8" xfId="1" applyNumberFormat="1" applyFont="1" applyBorder="1" applyAlignment="1">
      <alignment horizontal="center" vertical="center"/>
    </xf>
    <xf numFmtId="179" fontId="41" fillId="0" borderId="14" xfId="1" applyNumberFormat="1" applyFont="1" applyBorder="1" applyAlignment="1">
      <alignment horizontal="right" vertical="center"/>
    </xf>
    <xf numFmtId="179" fontId="41" fillId="0" borderId="31" xfId="1" applyNumberFormat="1" applyFont="1" applyBorder="1" applyAlignment="1">
      <alignment horizontal="right" vertical="center"/>
    </xf>
    <xf numFmtId="181" fontId="41" fillId="0" borderId="31" xfId="1" applyNumberFormat="1" applyFont="1" applyBorder="1" applyAlignment="1">
      <alignment horizontal="center" vertical="center"/>
    </xf>
    <xf numFmtId="181" fontId="41" fillId="0" borderId="27" xfId="1" applyNumberFormat="1" applyFont="1" applyBorder="1" applyAlignment="1">
      <alignment horizontal="center" vertical="center"/>
    </xf>
    <xf numFmtId="179" fontId="41" fillId="0" borderId="28" xfId="1" applyNumberFormat="1" applyFont="1" applyBorder="1" applyAlignment="1">
      <alignment horizontal="right" vertical="center"/>
    </xf>
    <xf numFmtId="179" fontId="41" fillId="0" borderId="21" xfId="1" applyNumberFormat="1" applyFont="1" applyBorder="1" applyAlignment="1">
      <alignment horizontal="right" vertical="center"/>
    </xf>
    <xf numFmtId="181" fontId="41" fillId="0" borderId="21" xfId="1" applyNumberFormat="1" applyFont="1" applyBorder="1" applyAlignment="1">
      <alignment horizontal="center" vertical="center"/>
    </xf>
    <xf numFmtId="181" fontId="41" fillId="0" borderId="22" xfId="1" applyNumberFormat="1" applyFont="1" applyBorder="1" applyAlignment="1">
      <alignment horizontal="center" vertical="center"/>
    </xf>
    <xf numFmtId="0" fontId="17" fillId="0" borderId="33" xfId="1" applyFont="1" applyBorder="1" applyAlignment="1">
      <alignment horizontal="center" vertical="center"/>
    </xf>
    <xf numFmtId="0" fontId="17" fillId="0" borderId="26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28" xfId="1" applyFont="1" applyBorder="1" applyAlignment="1">
      <alignment horizontal="center" vertical="center"/>
    </xf>
    <xf numFmtId="0" fontId="17" fillId="0" borderId="22" xfId="1" applyFont="1" applyBorder="1" applyAlignment="1">
      <alignment horizontal="center" vertical="center"/>
    </xf>
    <xf numFmtId="182" fontId="42" fillId="0" borderId="18" xfId="1" applyNumberFormat="1" applyFont="1" applyBorder="1" applyAlignment="1">
      <alignment horizontal="center" vertical="center"/>
    </xf>
    <xf numFmtId="182" fontId="42" fillId="0" borderId="30" xfId="1" applyNumberFormat="1" applyFont="1" applyBorder="1" applyAlignment="1">
      <alignment horizontal="center" vertical="center"/>
    </xf>
    <xf numFmtId="182" fontId="42" fillId="0" borderId="29" xfId="1" applyNumberFormat="1" applyFont="1" applyBorder="1" applyAlignment="1">
      <alignment horizontal="center" vertical="center"/>
    </xf>
    <xf numFmtId="180" fontId="40" fillId="0" borderId="9" xfId="1" applyNumberFormat="1" applyFont="1" applyBorder="1" applyAlignment="1">
      <alignment horizontal="center" vertical="center"/>
    </xf>
    <xf numFmtId="180" fontId="42" fillId="0" borderId="30" xfId="1" applyNumberFormat="1" applyFont="1" applyBorder="1" applyAlignment="1">
      <alignment horizontal="center" vertical="center"/>
    </xf>
    <xf numFmtId="180" fontId="42" fillId="0" borderId="29" xfId="1" applyNumberFormat="1" applyFont="1" applyBorder="1" applyAlignment="1">
      <alignment horizontal="center" vertical="center"/>
    </xf>
    <xf numFmtId="0" fontId="60" fillId="0" borderId="32" xfId="0" applyFont="1" applyBorder="1" applyAlignment="1">
      <alignment horizontal="center" vertical="center"/>
    </xf>
    <xf numFmtId="0" fontId="60" fillId="0" borderId="59" xfId="0" applyFont="1" applyBorder="1" applyAlignment="1">
      <alignment horizontal="center" vertical="center"/>
    </xf>
    <xf numFmtId="0" fontId="60" fillId="0" borderId="26" xfId="0" applyFont="1" applyBorder="1" applyAlignment="1">
      <alignment horizontal="right" vertical="center"/>
    </xf>
    <xf numFmtId="0" fontId="60" fillId="0" borderId="7" xfId="0" applyFont="1" applyBorder="1" applyAlignment="1">
      <alignment horizontal="right" vertical="center"/>
    </xf>
    <xf numFmtId="0" fontId="60" fillId="0" borderId="8" xfId="0" applyFont="1" applyBorder="1" applyAlignment="1">
      <alignment horizontal="right" vertical="center"/>
    </xf>
    <xf numFmtId="0" fontId="60" fillId="0" borderId="60" xfId="0" applyFont="1" applyBorder="1" applyAlignment="1">
      <alignment horizontal="right" vertical="center"/>
    </xf>
    <xf numFmtId="0" fontId="60" fillId="0" borderId="11" xfId="0" applyFont="1" applyBorder="1" applyAlignment="1">
      <alignment horizontal="right" vertical="center"/>
    </xf>
    <xf numFmtId="0" fontId="60" fillId="0" borderId="13" xfId="0" applyFont="1" applyBorder="1" applyAlignment="1">
      <alignment horizontal="right" vertical="center"/>
    </xf>
    <xf numFmtId="0" fontId="65" fillId="0" borderId="48" xfId="0" applyFont="1" applyBorder="1" applyAlignment="1">
      <alignment horizontal="center" vertical="center"/>
    </xf>
    <xf numFmtId="0" fontId="65" fillId="0" borderId="50" xfId="0" applyFont="1" applyBorder="1" applyAlignment="1">
      <alignment horizontal="center" vertical="center"/>
    </xf>
    <xf numFmtId="0" fontId="68" fillId="0" borderId="61" xfId="0" applyFont="1" applyBorder="1" applyAlignment="1">
      <alignment horizontal="center" vertical="center"/>
    </xf>
    <xf numFmtId="0" fontId="65" fillId="0" borderId="62" xfId="0" applyFont="1" applyBorder="1" applyAlignment="1">
      <alignment horizontal="center" vertical="center"/>
    </xf>
    <xf numFmtId="0" fontId="65" fillId="0" borderId="63" xfId="0" applyFont="1" applyBorder="1" applyAlignment="1">
      <alignment horizontal="center" vertical="center"/>
    </xf>
    <xf numFmtId="0" fontId="65" fillId="0" borderId="65" xfId="0" applyFont="1" applyBorder="1" applyAlignment="1">
      <alignment horizontal="center" vertical="center"/>
    </xf>
    <xf numFmtId="0" fontId="65" fillId="0" borderId="17" xfId="0" applyFont="1" applyBorder="1" applyAlignment="1">
      <alignment horizontal="left" vertical="center"/>
    </xf>
    <xf numFmtId="0" fontId="65" fillId="0" borderId="40" xfId="0" applyFont="1" applyBorder="1" applyAlignment="1">
      <alignment horizontal="left" vertical="center"/>
    </xf>
    <xf numFmtId="0" fontId="65" fillId="0" borderId="41" xfId="0" applyFont="1" applyBorder="1" applyAlignment="1">
      <alignment horizontal="left" vertical="center"/>
    </xf>
    <xf numFmtId="0" fontId="65" fillId="0" borderId="51" xfId="0" applyFont="1" applyBorder="1" applyAlignment="1">
      <alignment horizontal="center" vertical="center"/>
    </xf>
    <xf numFmtId="0" fontId="65" fillId="0" borderId="52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42" xfId="0" applyFont="1" applyBorder="1" applyAlignment="1">
      <alignment horizontal="center" vertical="center"/>
    </xf>
    <xf numFmtId="0" fontId="65" fillId="0" borderId="43" xfId="0" applyFont="1" applyBorder="1" applyAlignment="1">
      <alignment horizontal="center" vertical="center"/>
    </xf>
    <xf numFmtId="0" fontId="65" fillId="0" borderId="45" xfId="0" applyFont="1" applyBorder="1" applyAlignment="1">
      <alignment horizontal="center" vertical="center"/>
    </xf>
    <xf numFmtId="0" fontId="63" fillId="0" borderId="27" xfId="0" applyFont="1" applyBorder="1" applyAlignment="1">
      <alignment horizontal="center" vertical="center"/>
    </xf>
    <xf numFmtId="0" fontId="64" fillId="0" borderId="37" xfId="1" applyFont="1" applyBorder="1" applyAlignment="1">
      <alignment horizontal="center" vertical="center"/>
    </xf>
    <xf numFmtId="0" fontId="64" fillId="0" borderId="38" xfId="1" applyFont="1" applyBorder="1" applyAlignment="1">
      <alignment horizontal="center" vertical="center"/>
    </xf>
    <xf numFmtId="0" fontId="65" fillId="0" borderId="35" xfId="0" applyFon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0" fontId="62" fillId="0" borderId="14" xfId="1" applyFont="1" applyBorder="1" applyAlignment="1">
      <alignment horizontal="center" vertical="center"/>
    </xf>
    <xf numFmtId="0" fontId="62" fillId="0" borderId="31" xfId="1" applyFont="1" applyBorder="1" applyAlignment="1">
      <alignment horizontal="center" vertical="center"/>
    </xf>
    <xf numFmtId="0" fontId="62" fillId="0" borderId="27" xfId="1" applyFont="1" applyBorder="1" applyAlignment="1">
      <alignment horizontal="center" vertical="center"/>
    </xf>
    <xf numFmtId="0" fontId="18" fillId="10" borderId="6" xfId="1" applyFont="1" applyFill="1" applyBorder="1" applyAlignment="1">
      <alignment horizontal="center" vertical="center"/>
    </xf>
    <xf numFmtId="0" fontId="18" fillId="10" borderId="9" xfId="1" applyFont="1" applyFill="1" applyBorder="1" applyAlignment="1">
      <alignment horizontal="center" vertical="center"/>
    </xf>
    <xf numFmtId="0" fontId="18" fillId="10" borderId="7" xfId="1" applyFont="1" applyFill="1" applyBorder="1" applyAlignment="1">
      <alignment horizontal="center" vertical="center"/>
    </xf>
    <xf numFmtId="0" fontId="18" fillId="10" borderId="8" xfId="1" applyFont="1" applyFill="1" applyBorder="1" applyAlignment="1">
      <alignment horizontal="center" vertical="center"/>
    </xf>
    <xf numFmtId="0" fontId="18" fillId="10" borderId="21" xfId="1" applyFont="1" applyFill="1" applyBorder="1" applyAlignment="1">
      <alignment horizontal="center" vertical="center"/>
    </xf>
    <xf numFmtId="0" fontId="18" fillId="10" borderId="22" xfId="1" applyFont="1" applyFill="1" applyBorder="1" applyAlignment="1">
      <alignment horizontal="center" vertical="center"/>
    </xf>
    <xf numFmtId="178" fontId="72" fillId="0" borderId="14" xfId="1" applyNumberFormat="1" applyFont="1" applyBorder="1" applyAlignment="1">
      <alignment horizontal="center" vertical="center"/>
    </xf>
    <xf numFmtId="0" fontId="17" fillId="10" borderId="6" xfId="1" applyFont="1" applyFill="1" applyBorder="1" applyAlignment="1">
      <alignment horizontal="center" vertical="center" wrapText="1"/>
    </xf>
    <xf numFmtId="0" fontId="17" fillId="10" borderId="6" xfId="1" applyFont="1" applyFill="1" applyBorder="1" applyAlignment="1">
      <alignment horizontal="center" vertical="center"/>
    </xf>
    <xf numFmtId="0" fontId="18" fillId="10" borderId="26" xfId="1" applyFont="1" applyFill="1" applyBorder="1" applyAlignment="1">
      <alignment horizontal="center" vertical="center"/>
    </xf>
    <xf numFmtId="0" fontId="18" fillId="10" borderId="28" xfId="1" applyFont="1" applyFill="1" applyBorder="1" applyAlignment="1">
      <alignment horizontal="center" vertical="center"/>
    </xf>
    <xf numFmtId="176" fontId="22" fillId="0" borderId="27" xfId="1" applyNumberFormat="1" applyFont="1" applyBorder="1" applyAlignment="1">
      <alignment horizontal="center" vertical="center"/>
    </xf>
    <xf numFmtId="176" fontId="18" fillId="0" borderId="9" xfId="1" applyNumberFormat="1" applyFont="1" applyBorder="1" applyAlignment="1">
      <alignment horizontal="center" vertical="center"/>
    </xf>
    <xf numFmtId="0" fontId="17" fillId="10" borderId="9" xfId="1" applyFont="1" applyFill="1" applyBorder="1" applyAlignment="1">
      <alignment horizontal="center" vertical="center"/>
    </xf>
    <xf numFmtId="176" fontId="72" fillId="0" borderId="27" xfId="1" applyNumberFormat="1" applyFont="1" applyBorder="1" applyAlignment="1">
      <alignment horizontal="center" vertical="center"/>
    </xf>
    <xf numFmtId="0" fontId="34" fillId="10" borderId="18" xfId="1" applyFont="1" applyFill="1" applyBorder="1" applyAlignment="1">
      <alignment horizontal="center" vertical="center"/>
    </xf>
    <xf numFmtId="0" fontId="34" fillId="10" borderId="29" xfId="1" applyFont="1" applyFill="1" applyBorder="1" applyAlignment="1">
      <alignment horizontal="center" vertical="center"/>
    </xf>
    <xf numFmtId="178" fontId="22" fillId="0" borderId="14" xfId="1" applyNumberFormat="1" applyFont="1" applyBorder="1" applyAlignment="1">
      <alignment horizontal="center" vertical="center"/>
    </xf>
    <xf numFmtId="0" fontId="16" fillId="0" borderId="9" xfId="1" applyFont="1" applyBorder="1" applyAlignment="1">
      <alignment horizontal="center" vertical="center" wrapText="1"/>
    </xf>
    <xf numFmtId="179" fontId="39" fillId="0" borderId="35" xfId="1" applyNumberFormat="1" applyFont="1" applyBorder="1" applyAlignment="1">
      <alignment horizontal="right" vertical="center"/>
    </xf>
    <xf numFmtId="179" fontId="39" fillId="0" borderId="0" xfId="1" applyNumberFormat="1" applyFont="1" applyAlignment="1">
      <alignment horizontal="right" vertical="center"/>
    </xf>
    <xf numFmtId="179" fontId="39" fillId="0" borderId="28" xfId="1" applyNumberFormat="1" applyFont="1" applyBorder="1" applyAlignment="1">
      <alignment horizontal="right" vertical="center"/>
    </xf>
    <xf numFmtId="179" fontId="39" fillId="0" borderId="21" xfId="1" applyNumberFormat="1" applyFont="1" applyBorder="1" applyAlignment="1">
      <alignment horizontal="right" vertical="center"/>
    </xf>
    <xf numFmtId="0" fontId="17" fillId="11" borderId="14" xfId="1" applyFont="1" applyFill="1" applyBorder="1" applyAlignment="1">
      <alignment horizontal="center" vertical="center"/>
    </xf>
    <xf numFmtId="0" fontId="17" fillId="11" borderId="31" xfId="1" applyFont="1" applyFill="1" applyBorder="1" applyAlignment="1">
      <alignment horizontal="center" vertical="center"/>
    </xf>
    <xf numFmtId="0" fontId="17" fillId="11" borderId="27" xfId="1" applyFont="1" applyFill="1" applyBorder="1" applyAlignment="1">
      <alignment horizontal="center" vertical="center"/>
    </xf>
    <xf numFmtId="176" fontId="17" fillId="0" borderId="26" xfId="1" applyNumberFormat="1" applyFont="1" applyBorder="1" applyAlignment="1">
      <alignment horizontal="center" vertical="center"/>
    </xf>
    <xf numFmtId="180" fontId="39" fillId="0" borderId="0" xfId="1" applyNumberFormat="1" applyFont="1" applyAlignment="1">
      <alignment horizontal="center" vertical="center"/>
    </xf>
    <xf numFmtId="180" fontId="39" fillId="0" borderId="23" xfId="1" applyNumberFormat="1" applyFont="1" applyBorder="1" applyAlignment="1">
      <alignment horizontal="center" vertical="center"/>
    </xf>
    <xf numFmtId="180" fontId="39" fillId="0" borderId="21" xfId="1" applyNumberFormat="1" applyFont="1" applyBorder="1" applyAlignment="1">
      <alignment horizontal="center" vertical="center"/>
    </xf>
    <xf numFmtId="180" fontId="39" fillId="0" borderId="22" xfId="1" applyNumberFormat="1" applyFont="1" applyBorder="1" applyAlignment="1">
      <alignment horizontal="center" vertical="center"/>
    </xf>
    <xf numFmtId="178" fontId="22" fillId="0" borderId="26" xfId="1" applyNumberFormat="1" applyFont="1" applyBorder="1" applyAlignment="1">
      <alignment horizontal="center" vertical="center"/>
    </xf>
    <xf numFmtId="178" fontId="22" fillId="0" borderId="28" xfId="1" applyNumberFormat="1" applyFont="1" applyBorder="1" applyAlignment="1">
      <alignment horizontal="center" vertical="center"/>
    </xf>
    <xf numFmtId="176" fontId="22" fillId="0" borderId="8" xfId="1" applyNumberFormat="1" applyFont="1" applyBorder="1" applyAlignment="1">
      <alignment horizontal="center" vertical="center"/>
    </xf>
    <xf numFmtId="176" fontId="22" fillId="0" borderId="22" xfId="1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179" fontId="41" fillId="0" borderId="35" xfId="1" applyNumberFormat="1" applyFont="1" applyBorder="1" applyAlignment="1">
      <alignment horizontal="right" vertical="center"/>
    </xf>
    <xf numFmtId="179" fontId="41" fillId="0" borderId="0" xfId="1" applyNumberFormat="1" applyFont="1" applyAlignment="1">
      <alignment horizontal="right" vertical="center"/>
    </xf>
    <xf numFmtId="181" fontId="41" fillId="0" borderId="0" xfId="1" applyNumberFormat="1" applyFont="1" applyAlignment="1">
      <alignment horizontal="center" vertical="center"/>
    </xf>
    <xf numFmtId="181" fontId="41" fillId="0" borderId="23" xfId="1" applyNumberFormat="1" applyFont="1" applyBorder="1" applyAlignment="1">
      <alignment horizontal="center" vertical="center"/>
    </xf>
    <xf numFmtId="179" fontId="40" fillId="0" borderId="26" xfId="1" applyNumberFormat="1" applyFont="1" applyBorder="1" applyAlignment="1">
      <alignment horizontal="right" vertical="center"/>
    </xf>
    <xf numFmtId="179" fontId="40" fillId="0" borderId="7" xfId="1" applyNumberFormat="1" applyFont="1" applyBorder="1" applyAlignment="1">
      <alignment horizontal="right" vertical="center"/>
    </xf>
    <xf numFmtId="179" fontId="40" fillId="0" borderId="35" xfId="1" applyNumberFormat="1" applyFont="1" applyBorder="1" applyAlignment="1">
      <alignment horizontal="right" vertical="center"/>
    </xf>
    <xf numFmtId="179" fontId="40" fillId="0" borderId="0" xfId="1" applyNumberFormat="1" applyFont="1" applyAlignment="1">
      <alignment horizontal="right" vertical="center"/>
    </xf>
    <xf numFmtId="179" fontId="40" fillId="0" borderId="28" xfId="1" applyNumberFormat="1" applyFont="1" applyBorder="1" applyAlignment="1">
      <alignment horizontal="right" vertical="center"/>
    </xf>
    <xf numFmtId="179" fontId="40" fillId="0" borderId="21" xfId="1" applyNumberFormat="1" applyFont="1" applyBorder="1" applyAlignment="1">
      <alignment horizontal="right" vertical="center"/>
    </xf>
    <xf numFmtId="180" fontId="40" fillId="0" borderId="7" xfId="1" applyNumberFormat="1" applyFont="1" applyBorder="1" applyAlignment="1">
      <alignment horizontal="center" vertical="center"/>
    </xf>
    <xf numFmtId="180" fontId="40" fillId="0" borderId="8" xfId="1" applyNumberFormat="1" applyFont="1" applyBorder="1" applyAlignment="1">
      <alignment horizontal="center" vertical="center"/>
    </xf>
    <xf numFmtId="180" fontId="40" fillId="0" borderId="0" xfId="1" applyNumberFormat="1" applyFont="1" applyAlignment="1">
      <alignment horizontal="center" vertical="center"/>
    </xf>
    <xf numFmtId="180" fontId="40" fillId="0" borderId="23" xfId="1" applyNumberFormat="1" applyFont="1" applyBorder="1" applyAlignment="1">
      <alignment horizontal="center" vertical="center"/>
    </xf>
    <xf numFmtId="180" fontId="40" fillId="0" borderId="21" xfId="1" applyNumberFormat="1" applyFont="1" applyBorder="1" applyAlignment="1">
      <alignment horizontal="center" vertical="center"/>
    </xf>
    <xf numFmtId="180" fontId="40" fillId="0" borderId="22" xfId="1" applyNumberFormat="1" applyFont="1" applyBorder="1" applyAlignment="1">
      <alignment horizontal="center" vertical="center"/>
    </xf>
  </cellXfs>
  <cellStyles count="6">
    <cellStyle name="쉼표 [0]" xfId="5" builtinId="6"/>
    <cellStyle name="쉼표 [0] 2" xfId="3" xr:uid="{C30ED5E4-18E9-448A-A538-0C7CD2A047CE}"/>
    <cellStyle name="표준" xfId="0" builtinId="0"/>
    <cellStyle name="표준 2" xfId="2" xr:uid="{BDEB90FE-A148-41AE-8931-F27251C658C0}"/>
    <cellStyle name="표준 2 2" xfId="4" xr:uid="{F1CE9640-82F7-4586-BB99-223DF44EF91C}"/>
    <cellStyle name="표준 4 3 2 2 2 3" xfId="1" xr:uid="{0018E3EA-3DA8-4765-99D8-F653AEB75301}"/>
  </cellStyles>
  <dxfs count="13"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microsoft.com/office/2007/relationships/hdphoto" Target="../media/hdphoto1.wdp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jpeg"/><Relationship Id="rId6" Type="http://schemas.openxmlformats.org/officeDocument/2006/relationships/image" Target="../media/image19.png"/><Relationship Id="rId11" Type="http://schemas.microsoft.com/office/2007/relationships/hdphoto" Target="../media/hdphoto1.wdp"/><Relationship Id="rId5" Type="http://schemas.openxmlformats.org/officeDocument/2006/relationships/image" Target="../media/image18.png"/><Relationship Id="rId10" Type="http://schemas.openxmlformats.org/officeDocument/2006/relationships/image" Target="../media/image3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86592</xdr:colOff>
      <xdr:row>7</xdr:row>
      <xdr:rowOff>273628</xdr:rowOff>
    </xdr:from>
    <xdr:to>
      <xdr:col>17</xdr:col>
      <xdr:colOff>31172</xdr:colOff>
      <xdr:row>21</xdr:row>
      <xdr:rowOff>225135</xdr:rowOff>
    </xdr:to>
    <xdr:grpSp>
      <xdr:nvGrpSpPr>
        <xdr:cNvPr id="33" name="직사각형 680" hidden="1">
          <a:extLst>
            <a:ext uri="{FF2B5EF4-FFF2-40B4-BE49-F238E27FC236}">
              <a16:creationId xmlns:a16="http://schemas.microsoft.com/office/drawing/2014/main" id="{F1821A55-6338-97C4-7BD6-D0AD98BFA5A1}"/>
            </a:ext>
          </a:extLst>
        </xdr:cNvPr>
        <xdr:cNvGrpSpPr/>
      </xdr:nvGrpSpPr>
      <xdr:grpSpPr>
        <a:xfrm>
          <a:off x="7706592" y="2695699"/>
          <a:ext cx="380009" cy="4591543"/>
          <a:chOff x="7637319" y="2680855"/>
          <a:chExt cx="377535" cy="4558144"/>
        </a:xfrm>
      </xdr:grpSpPr>
      <xdr:sp macro="" textlink="">
        <xdr:nvSpPr>
          <xdr:cNvPr id="681" name="직사각형1222" hidden="1">
            <a:extLst>
              <a:ext uri="{FF2B5EF4-FFF2-40B4-BE49-F238E27FC236}">
                <a16:creationId xmlns:a16="http://schemas.microsoft.com/office/drawing/2014/main" id="{FDB821F3-6656-699E-84D6-3AB447F5D3E0}"/>
              </a:ext>
            </a:extLst>
          </xdr:cNvPr>
          <xdr:cNvSpPr/>
        </xdr:nvSpPr>
        <xdr:spPr>
          <a:xfrm>
            <a:off x="7637319" y="2684318"/>
            <a:ext cx="190499" cy="4554681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03" name="직사각형608" hidden="1">
            <a:extLst>
              <a:ext uri="{FF2B5EF4-FFF2-40B4-BE49-F238E27FC236}">
                <a16:creationId xmlns:a16="http://schemas.microsoft.com/office/drawing/2014/main" id="{A46F5DFF-ED4C-40A2-B7F0-D96DE046976D}"/>
              </a:ext>
            </a:extLst>
          </xdr:cNvPr>
          <xdr:cNvSpPr/>
        </xdr:nvSpPr>
        <xdr:spPr>
          <a:xfrm>
            <a:off x="7824355" y="2680855"/>
            <a:ext cx="190499" cy="4554681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9</xdr:col>
      <xdr:colOff>13606</xdr:colOff>
      <xdr:row>6</xdr:row>
      <xdr:rowOff>27215</xdr:rowOff>
    </xdr:from>
    <xdr:to>
      <xdr:col>23</xdr:col>
      <xdr:colOff>149677</xdr:colOff>
      <xdr:row>23</xdr:row>
      <xdr:rowOff>190500</xdr:rowOff>
    </xdr:to>
    <xdr:sp macro="" textlink="">
      <xdr:nvSpPr>
        <xdr:cNvPr id="756" name="액자 755">
          <a:extLst>
            <a:ext uri="{FF2B5EF4-FFF2-40B4-BE49-F238E27FC236}">
              <a16:creationId xmlns:a16="http://schemas.microsoft.com/office/drawing/2014/main" id="{56F658F4-6431-3938-8C19-D8EBD2825415}"/>
            </a:ext>
          </a:extLst>
        </xdr:cNvPr>
        <xdr:cNvSpPr/>
      </xdr:nvSpPr>
      <xdr:spPr>
        <a:xfrm>
          <a:off x="6109606" y="2140033"/>
          <a:ext cx="3391889" cy="5653149"/>
        </a:xfrm>
        <a:prstGeom prst="frame">
          <a:avLst>
            <a:gd name="adj1" fmla="val 9274"/>
          </a:avLst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96832</xdr:colOff>
      <xdr:row>6</xdr:row>
      <xdr:rowOff>250654</xdr:rowOff>
    </xdr:from>
    <xdr:to>
      <xdr:col>22</xdr:col>
      <xdr:colOff>91868</xdr:colOff>
      <xdr:row>22</xdr:row>
      <xdr:rowOff>239184</xdr:rowOff>
    </xdr:to>
    <xdr:grpSp>
      <xdr:nvGrpSpPr>
        <xdr:cNvPr id="757" name="그룹 756">
          <a:extLst>
            <a:ext uri="{FF2B5EF4-FFF2-40B4-BE49-F238E27FC236}">
              <a16:creationId xmlns:a16="http://schemas.microsoft.com/office/drawing/2014/main" id="{304D9354-E0B4-FF55-D69F-DEDEEE5A885B}"/>
            </a:ext>
          </a:extLst>
        </xdr:cNvPr>
        <xdr:cNvGrpSpPr/>
      </xdr:nvGrpSpPr>
      <xdr:grpSpPr>
        <a:xfrm>
          <a:off x="6451368" y="2373368"/>
          <a:ext cx="2852536" cy="5227280"/>
          <a:chOff x="9779977" y="1532037"/>
          <a:chExt cx="1081091" cy="2522677"/>
        </a:xfrm>
      </xdr:grpSpPr>
      <xdr:sp macro="" textlink="">
        <xdr:nvSpPr>
          <xdr:cNvPr id="758" name="액자 757">
            <a:extLst>
              <a:ext uri="{FF2B5EF4-FFF2-40B4-BE49-F238E27FC236}">
                <a16:creationId xmlns:a16="http://schemas.microsoft.com/office/drawing/2014/main" id="{E3B73255-EDDC-194C-4133-141FC325B761}"/>
              </a:ext>
            </a:extLst>
          </xdr:cNvPr>
          <xdr:cNvSpPr/>
        </xdr:nvSpPr>
        <xdr:spPr>
          <a:xfrm>
            <a:off x="9779977" y="1537189"/>
            <a:ext cx="1078523" cy="2514599"/>
          </a:xfrm>
          <a:prstGeom prst="frame">
            <a:avLst>
              <a:gd name="adj1" fmla="val 10349"/>
            </a:avLst>
          </a:prstGeom>
          <a:solidFill>
            <a:schemeClr val="accent1">
              <a:lumMod val="7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cxnSp macro="">
        <xdr:nvCxnSpPr>
          <xdr:cNvPr id="759" name="직선 연결선 758">
            <a:extLst>
              <a:ext uri="{FF2B5EF4-FFF2-40B4-BE49-F238E27FC236}">
                <a16:creationId xmlns:a16="http://schemas.microsoft.com/office/drawing/2014/main" id="{C625E3B1-D32D-EB98-4CED-A8828531B5E7}"/>
              </a:ext>
            </a:extLst>
          </xdr:cNvPr>
          <xdr:cNvCxnSpPr/>
        </xdr:nvCxnSpPr>
        <xdr:spPr>
          <a:xfrm>
            <a:off x="9784003" y="1535717"/>
            <a:ext cx="111846" cy="149969"/>
          </a:xfrm>
          <a:prstGeom prst="line">
            <a:avLst/>
          </a:prstGeom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0" name="직선 연결선 759">
            <a:extLst>
              <a:ext uri="{FF2B5EF4-FFF2-40B4-BE49-F238E27FC236}">
                <a16:creationId xmlns:a16="http://schemas.microsoft.com/office/drawing/2014/main" id="{B5BA8160-C9D9-40B2-6F44-FEC1C8ECC10A}"/>
              </a:ext>
            </a:extLst>
          </xdr:cNvPr>
          <xdr:cNvCxnSpPr/>
        </xdr:nvCxnSpPr>
        <xdr:spPr>
          <a:xfrm>
            <a:off x="10745746" y="3903763"/>
            <a:ext cx="115322" cy="150951"/>
          </a:xfrm>
          <a:prstGeom prst="line">
            <a:avLst/>
          </a:prstGeom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1" name="직선 연결선 760">
            <a:extLst>
              <a:ext uri="{FF2B5EF4-FFF2-40B4-BE49-F238E27FC236}">
                <a16:creationId xmlns:a16="http://schemas.microsoft.com/office/drawing/2014/main" id="{D905A6F7-B643-8997-CD89-8AD097635AFB}"/>
              </a:ext>
            </a:extLst>
          </xdr:cNvPr>
          <xdr:cNvCxnSpPr/>
        </xdr:nvCxnSpPr>
        <xdr:spPr>
          <a:xfrm flipH="1">
            <a:off x="9782840" y="3898239"/>
            <a:ext cx="109714" cy="139853"/>
          </a:xfrm>
          <a:prstGeom prst="line">
            <a:avLst/>
          </a:prstGeom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2" name="직선 연결선 761">
            <a:extLst>
              <a:ext uri="{FF2B5EF4-FFF2-40B4-BE49-F238E27FC236}">
                <a16:creationId xmlns:a16="http://schemas.microsoft.com/office/drawing/2014/main" id="{7ADA89AC-C423-517D-A891-4C5EA57E5C6E}"/>
              </a:ext>
            </a:extLst>
          </xdr:cNvPr>
          <xdr:cNvCxnSpPr/>
        </xdr:nvCxnSpPr>
        <xdr:spPr>
          <a:xfrm flipH="1">
            <a:off x="10746208" y="1532037"/>
            <a:ext cx="112062" cy="153650"/>
          </a:xfrm>
          <a:prstGeom prst="line">
            <a:avLst/>
          </a:prstGeom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27214</xdr:colOff>
      <xdr:row>5</xdr:row>
      <xdr:rowOff>149679</xdr:rowOff>
    </xdr:from>
    <xdr:to>
      <xdr:col>23</xdr:col>
      <xdr:colOff>136071</xdr:colOff>
      <xdr:row>23</xdr:row>
      <xdr:rowOff>204106</xdr:rowOff>
    </xdr:to>
    <xdr:grpSp>
      <xdr:nvGrpSpPr>
        <xdr:cNvPr id="21" name="추가경첩" hidden="1">
          <a:extLst>
            <a:ext uri="{FF2B5EF4-FFF2-40B4-BE49-F238E27FC236}">
              <a16:creationId xmlns:a16="http://schemas.microsoft.com/office/drawing/2014/main" id="{65502876-7E09-4580-97EE-3503C56E20B4}"/>
            </a:ext>
          </a:extLst>
        </xdr:cNvPr>
        <xdr:cNvGrpSpPr/>
      </xdr:nvGrpSpPr>
      <xdr:grpSpPr>
        <a:xfrm>
          <a:off x="6150428" y="1973036"/>
          <a:ext cx="3442607" cy="5891891"/>
          <a:chOff x="9634903" y="1399443"/>
          <a:chExt cx="1362808" cy="2798885"/>
        </a:xfrm>
      </xdr:grpSpPr>
      <xdr:sp macro="" textlink="">
        <xdr:nvSpPr>
          <xdr:cNvPr id="22" name="액자 21" hidden="1">
            <a:extLst>
              <a:ext uri="{FF2B5EF4-FFF2-40B4-BE49-F238E27FC236}">
                <a16:creationId xmlns:a16="http://schemas.microsoft.com/office/drawing/2014/main" id="{AB8821D0-F3D3-9278-7021-245144F80994}"/>
              </a:ext>
            </a:extLst>
          </xdr:cNvPr>
          <xdr:cNvSpPr/>
        </xdr:nvSpPr>
        <xdr:spPr>
          <a:xfrm>
            <a:off x="9634903" y="1399443"/>
            <a:ext cx="1362808" cy="2798885"/>
          </a:xfrm>
          <a:prstGeom prst="frame">
            <a:avLst>
              <a:gd name="adj1" fmla="val 9274"/>
            </a:avLst>
          </a:prstGeom>
          <a:solidFill>
            <a:schemeClr val="bg1">
              <a:lumMod val="5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grpSp>
        <xdr:nvGrpSpPr>
          <xdr:cNvPr id="23" name="그룹 22" hidden="1">
            <a:extLst>
              <a:ext uri="{FF2B5EF4-FFF2-40B4-BE49-F238E27FC236}">
                <a16:creationId xmlns:a16="http://schemas.microsoft.com/office/drawing/2014/main" id="{A8D537B2-CF52-0B7C-2223-54B75E541DF4}"/>
              </a:ext>
            </a:extLst>
          </xdr:cNvPr>
          <xdr:cNvGrpSpPr/>
        </xdr:nvGrpSpPr>
        <xdr:grpSpPr>
          <a:xfrm>
            <a:off x="9758798" y="1510068"/>
            <a:ext cx="1118272" cy="2566601"/>
            <a:chOff x="9779977" y="1532037"/>
            <a:chExt cx="1081091" cy="2522677"/>
          </a:xfrm>
        </xdr:grpSpPr>
        <xdr:sp macro="" textlink="">
          <xdr:nvSpPr>
            <xdr:cNvPr id="24" name="액자 23" hidden="1">
              <a:extLst>
                <a:ext uri="{FF2B5EF4-FFF2-40B4-BE49-F238E27FC236}">
                  <a16:creationId xmlns:a16="http://schemas.microsoft.com/office/drawing/2014/main" id="{8A4E9433-ABBA-2007-688B-6F740DB515CF}"/>
                </a:ext>
              </a:extLst>
            </xdr:cNvPr>
            <xdr:cNvSpPr/>
          </xdr:nvSpPr>
          <xdr:spPr>
            <a:xfrm>
              <a:off x="9779977" y="1537189"/>
              <a:ext cx="1078523" cy="2514599"/>
            </a:xfrm>
            <a:prstGeom prst="frame">
              <a:avLst>
                <a:gd name="adj1" fmla="val 10349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>
                <a:solidFill>
                  <a:schemeClr val="tx1"/>
                </a:solidFill>
              </a:endParaRPr>
            </a:p>
          </xdr:txBody>
        </xdr:sp>
        <xdr:cxnSp macro="">
          <xdr:nvCxnSpPr>
            <xdr:cNvPr id="25" name="직선 연결선 24" hidden="1">
              <a:extLst>
                <a:ext uri="{FF2B5EF4-FFF2-40B4-BE49-F238E27FC236}">
                  <a16:creationId xmlns:a16="http://schemas.microsoft.com/office/drawing/2014/main" id="{867495D8-17E2-DAA8-9557-0EBCE65BD7E0}"/>
                </a:ext>
              </a:extLst>
            </xdr:cNvPr>
            <xdr:cNvCxnSpPr/>
          </xdr:nvCxnSpPr>
          <xdr:spPr>
            <a:xfrm>
              <a:off x="9784003" y="1535717"/>
              <a:ext cx="111846" cy="149969"/>
            </a:xfrm>
            <a:prstGeom prst="line">
              <a:avLst/>
            </a:prstGeom>
            <a:ln>
              <a:solidFill>
                <a:schemeClr val="tx1">
                  <a:lumMod val="95000"/>
                  <a:lumOff val="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" name="직선 연결선 25" hidden="1">
              <a:extLst>
                <a:ext uri="{FF2B5EF4-FFF2-40B4-BE49-F238E27FC236}">
                  <a16:creationId xmlns:a16="http://schemas.microsoft.com/office/drawing/2014/main" id="{241EAF2E-BB8F-8C93-022F-CD4E86C017B7}"/>
                </a:ext>
              </a:extLst>
            </xdr:cNvPr>
            <xdr:cNvCxnSpPr/>
          </xdr:nvCxnSpPr>
          <xdr:spPr>
            <a:xfrm>
              <a:off x="10745746" y="3903763"/>
              <a:ext cx="115322" cy="150951"/>
            </a:xfrm>
            <a:prstGeom prst="line">
              <a:avLst/>
            </a:prstGeom>
            <a:ln>
              <a:solidFill>
                <a:schemeClr val="tx1">
                  <a:lumMod val="95000"/>
                  <a:lumOff val="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직선 연결선 26" hidden="1">
              <a:extLst>
                <a:ext uri="{FF2B5EF4-FFF2-40B4-BE49-F238E27FC236}">
                  <a16:creationId xmlns:a16="http://schemas.microsoft.com/office/drawing/2014/main" id="{EDED4AB1-CB9B-1926-143A-76794AEC95CB}"/>
                </a:ext>
              </a:extLst>
            </xdr:cNvPr>
            <xdr:cNvCxnSpPr/>
          </xdr:nvCxnSpPr>
          <xdr:spPr>
            <a:xfrm flipH="1">
              <a:off x="9782840" y="3898239"/>
              <a:ext cx="109714" cy="139853"/>
            </a:xfrm>
            <a:prstGeom prst="line">
              <a:avLst/>
            </a:prstGeom>
            <a:ln>
              <a:solidFill>
                <a:schemeClr val="tx1">
                  <a:lumMod val="95000"/>
                  <a:lumOff val="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직선 연결선 27" hidden="1">
              <a:extLst>
                <a:ext uri="{FF2B5EF4-FFF2-40B4-BE49-F238E27FC236}">
                  <a16:creationId xmlns:a16="http://schemas.microsoft.com/office/drawing/2014/main" id="{801909BE-D369-2EB5-9C29-6ADFF6CD950F}"/>
                </a:ext>
              </a:extLst>
            </xdr:cNvPr>
            <xdr:cNvCxnSpPr/>
          </xdr:nvCxnSpPr>
          <xdr:spPr>
            <a:xfrm flipH="1">
              <a:off x="10746208" y="1532037"/>
              <a:ext cx="112062" cy="153650"/>
            </a:xfrm>
            <a:prstGeom prst="line">
              <a:avLst/>
            </a:prstGeom>
            <a:ln>
              <a:solidFill>
                <a:schemeClr val="tx1">
                  <a:lumMod val="95000"/>
                  <a:lumOff val="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310489</xdr:colOff>
          <xdr:row>4</xdr:row>
          <xdr:rowOff>49627</xdr:rowOff>
        </xdr:from>
        <xdr:to>
          <xdr:col>29</xdr:col>
          <xdr:colOff>419347</xdr:colOff>
          <xdr:row>20</xdr:row>
          <xdr:rowOff>183591</xdr:rowOff>
        </xdr:to>
        <xdr:pic>
          <xdr:nvPicPr>
            <xdr:cNvPr id="42" name="그림 41">
              <a:extLst>
                <a:ext uri="{FF2B5EF4-FFF2-40B4-BE49-F238E27FC236}">
                  <a16:creationId xmlns:a16="http://schemas.microsoft.com/office/drawing/2014/main" id="{336988EC-5860-4F7A-A2A5-02D4B146AC0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37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199171" y="1573627"/>
              <a:ext cx="2550721" cy="53294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176632</xdr:colOff>
          <xdr:row>26</xdr:row>
          <xdr:rowOff>214515</xdr:rowOff>
        </xdr:from>
        <xdr:to>
          <xdr:col>24</xdr:col>
          <xdr:colOff>13608</xdr:colOff>
          <xdr:row>33</xdr:row>
          <xdr:rowOff>40822</xdr:rowOff>
        </xdr:to>
        <xdr:pic>
          <xdr:nvPicPr>
            <xdr:cNvPr id="701" name="그림 700">
              <a:extLst>
                <a:ext uri="{FF2B5EF4-FFF2-40B4-BE49-F238E27FC236}">
                  <a16:creationId xmlns:a16="http://schemas.microsoft.com/office/drawing/2014/main" id="{89232EF2-835D-474C-9A58-7F104617C3C7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이미지불러오기2" spid="_x0000_s6372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068525" y="8773408"/>
              <a:ext cx="3646976" cy="18537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11</xdr:col>
      <xdr:colOff>143494</xdr:colOff>
      <xdr:row>18</xdr:row>
      <xdr:rowOff>63310</xdr:rowOff>
    </xdr:from>
    <xdr:to>
      <xdr:col>21</xdr:col>
      <xdr:colOff>116280</xdr:colOff>
      <xdr:row>19</xdr:row>
      <xdr:rowOff>200395</xdr:rowOff>
    </xdr:to>
    <xdr:sp macro="" textlink="AN22">
      <xdr:nvSpPr>
        <xdr:cNvPr id="3" name="TextBox 2">
          <a:extLst>
            <a:ext uri="{FF2B5EF4-FFF2-40B4-BE49-F238E27FC236}">
              <a16:creationId xmlns:a16="http://schemas.microsoft.com/office/drawing/2014/main" id="{747D62E1-309D-CF17-6747-A15DD99751E9}"/>
            </a:ext>
          </a:extLst>
        </xdr:cNvPr>
        <xdr:cNvSpPr txBox="1"/>
      </xdr:nvSpPr>
      <xdr:spPr>
        <a:xfrm>
          <a:off x="6689767" y="5899537"/>
          <a:ext cx="2310740" cy="6219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fld id="{F8EC09A5-CF8D-4AFF-BEF1-79C7F90F5F70}" type="TxLink">
            <a:rPr lang="ko-KR" altLang="en-US" sz="1600" b="1" i="0" u="none" strike="noStrike" kern="1200">
              <a:solidFill>
                <a:srgbClr val="FF0000"/>
              </a:solidFill>
              <a:latin typeface="맑은 고딕"/>
              <a:ea typeface="맑은 고딕"/>
            </a:rPr>
            <a:pPr algn="ctr"/>
            <a:t>손잡이기본1000</a:t>
          </a:fld>
          <a:endParaRPr lang="ko-KR" altLang="en-US" sz="14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136073</xdr:colOff>
      <xdr:row>22</xdr:row>
      <xdr:rowOff>81644</xdr:rowOff>
    </xdr:from>
    <xdr:to>
      <xdr:col>12</xdr:col>
      <xdr:colOff>332329</xdr:colOff>
      <xdr:row>22</xdr:row>
      <xdr:rowOff>156482</xdr:rowOff>
    </xdr:to>
    <xdr:sp macro="" textlink="">
      <xdr:nvSpPr>
        <xdr:cNvPr id="4" name="물구멍1">
          <a:extLst>
            <a:ext uri="{FF2B5EF4-FFF2-40B4-BE49-F238E27FC236}">
              <a16:creationId xmlns:a16="http://schemas.microsoft.com/office/drawing/2014/main" id="{6485CDA5-B5B3-5422-3E2D-B3B82CE75426}"/>
            </a:ext>
          </a:extLst>
        </xdr:cNvPr>
        <xdr:cNvSpPr/>
      </xdr:nvSpPr>
      <xdr:spPr>
        <a:xfrm>
          <a:off x="6994073" y="7170965"/>
          <a:ext cx="196256" cy="74838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16330</xdr:colOff>
      <xdr:row>22</xdr:row>
      <xdr:rowOff>70758</xdr:rowOff>
    </xdr:from>
    <xdr:to>
      <xdr:col>19</xdr:col>
      <xdr:colOff>212586</xdr:colOff>
      <xdr:row>22</xdr:row>
      <xdr:rowOff>145596</xdr:rowOff>
    </xdr:to>
    <xdr:sp macro="" textlink="">
      <xdr:nvSpPr>
        <xdr:cNvPr id="8" name="물구멍2">
          <a:extLst>
            <a:ext uri="{FF2B5EF4-FFF2-40B4-BE49-F238E27FC236}">
              <a16:creationId xmlns:a16="http://schemas.microsoft.com/office/drawing/2014/main" id="{6A8D47ED-1426-46B1-9E5C-CFB3F55EE71F}"/>
            </a:ext>
          </a:extLst>
        </xdr:cNvPr>
        <xdr:cNvSpPr/>
      </xdr:nvSpPr>
      <xdr:spPr>
        <a:xfrm>
          <a:off x="8575223" y="7160079"/>
          <a:ext cx="196256" cy="74838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231323</xdr:colOff>
      <xdr:row>19</xdr:row>
      <xdr:rowOff>353788</xdr:rowOff>
    </xdr:from>
    <xdr:to>
      <xdr:col>28</xdr:col>
      <xdr:colOff>435429</xdr:colOff>
      <xdr:row>19</xdr:row>
      <xdr:rowOff>435430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4C402868-552D-991E-8816-9FE384B87FE0}"/>
            </a:ext>
          </a:extLst>
        </xdr:cNvPr>
        <xdr:cNvSpPr/>
      </xdr:nvSpPr>
      <xdr:spPr>
        <a:xfrm>
          <a:off x="12069537" y="6545038"/>
          <a:ext cx="204106" cy="81642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274865</xdr:colOff>
      <xdr:row>19</xdr:row>
      <xdr:rowOff>370117</xdr:rowOff>
    </xdr:from>
    <xdr:to>
      <xdr:col>26</xdr:col>
      <xdr:colOff>478971</xdr:colOff>
      <xdr:row>19</xdr:row>
      <xdr:rowOff>451759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3D88108-3B57-4133-A064-1B100EA8359A}"/>
            </a:ext>
          </a:extLst>
        </xdr:cNvPr>
        <xdr:cNvSpPr/>
      </xdr:nvSpPr>
      <xdr:spPr>
        <a:xfrm>
          <a:off x="10834008" y="6561367"/>
          <a:ext cx="204106" cy="81642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179615</xdr:colOff>
      <xdr:row>7</xdr:row>
      <xdr:rowOff>277092</xdr:rowOff>
    </xdr:from>
    <xdr:to>
      <xdr:col>11</xdr:col>
      <xdr:colOff>89342</xdr:colOff>
      <xdr:row>10</xdr:row>
      <xdr:rowOff>113864</xdr:rowOff>
    </xdr:to>
    <xdr:grpSp>
      <xdr:nvGrpSpPr>
        <xdr:cNvPr id="38" name="좌경첩1" hidden="1">
          <a:extLst>
            <a:ext uri="{FF2B5EF4-FFF2-40B4-BE49-F238E27FC236}">
              <a16:creationId xmlns:a16="http://schemas.microsoft.com/office/drawing/2014/main" id="{0D8EECF0-960D-46BF-831F-586FF555B643}"/>
            </a:ext>
          </a:extLst>
        </xdr:cNvPr>
        <xdr:cNvGrpSpPr/>
      </xdr:nvGrpSpPr>
      <xdr:grpSpPr>
        <a:xfrm flipH="1">
          <a:off x="6302829" y="2699163"/>
          <a:ext cx="372370" cy="734844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39" name="순서도: 처리 38" hidden="1">
            <a:extLst>
              <a:ext uri="{FF2B5EF4-FFF2-40B4-BE49-F238E27FC236}">
                <a16:creationId xmlns:a16="http://schemas.microsoft.com/office/drawing/2014/main" id="{BBCB646C-EAA6-4C89-7729-3D3328BC8DD8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0" name="순서도: 처리 39" hidden="1">
            <a:extLst>
              <a:ext uri="{FF2B5EF4-FFF2-40B4-BE49-F238E27FC236}">
                <a16:creationId xmlns:a16="http://schemas.microsoft.com/office/drawing/2014/main" id="{1202F36C-0A01-9879-E68F-52BB53FC2A81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1" name="순서도: 처리 40" hidden="1">
            <a:extLst>
              <a:ext uri="{FF2B5EF4-FFF2-40B4-BE49-F238E27FC236}">
                <a16:creationId xmlns:a16="http://schemas.microsoft.com/office/drawing/2014/main" id="{F79D33E1-0F3C-AF1E-061E-9A739B8D99A9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9</xdr:col>
      <xdr:colOff>182336</xdr:colOff>
      <xdr:row>19</xdr:row>
      <xdr:rowOff>95115</xdr:rowOff>
    </xdr:from>
    <xdr:to>
      <xdr:col>11</xdr:col>
      <xdr:colOff>92063</xdr:colOff>
      <xdr:row>21</xdr:row>
      <xdr:rowOff>122387</xdr:rowOff>
    </xdr:to>
    <xdr:grpSp>
      <xdr:nvGrpSpPr>
        <xdr:cNvPr id="43" name="좌경첩4" hidden="1">
          <a:extLst>
            <a:ext uri="{FF2B5EF4-FFF2-40B4-BE49-F238E27FC236}">
              <a16:creationId xmlns:a16="http://schemas.microsoft.com/office/drawing/2014/main" id="{89A16D66-B4F8-44BA-AF41-BF6526AE99F8}"/>
            </a:ext>
          </a:extLst>
        </xdr:cNvPr>
        <xdr:cNvGrpSpPr/>
      </xdr:nvGrpSpPr>
      <xdr:grpSpPr>
        <a:xfrm flipH="1">
          <a:off x="6305550" y="6463258"/>
          <a:ext cx="372370" cy="721236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44" name="순서도: 처리 43" hidden="1">
            <a:extLst>
              <a:ext uri="{FF2B5EF4-FFF2-40B4-BE49-F238E27FC236}">
                <a16:creationId xmlns:a16="http://schemas.microsoft.com/office/drawing/2014/main" id="{172030D6-445B-821B-1A5F-0F8F08A30718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5" name="순서도: 처리 44" hidden="1">
            <a:extLst>
              <a:ext uri="{FF2B5EF4-FFF2-40B4-BE49-F238E27FC236}">
                <a16:creationId xmlns:a16="http://schemas.microsoft.com/office/drawing/2014/main" id="{108D17A8-30D9-5F72-C350-4356027F2866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6" name="순서도: 처리 45" hidden="1">
            <a:extLst>
              <a:ext uri="{FF2B5EF4-FFF2-40B4-BE49-F238E27FC236}">
                <a16:creationId xmlns:a16="http://schemas.microsoft.com/office/drawing/2014/main" id="{CC2DE3CF-D1B3-ACD7-5021-5F68289170F4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9</xdr:col>
      <xdr:colOff>183325</xdr:colOff>
      <xdr:row>10</xdr:row>
      <xdr:rowOff>334108</xdr:rowOff>
    </xdr:from>
    <xdr:to>
      <xdr:col>11</xdr:col>
      <xdr:colOff>93052</xdr:colOff>
      <xdr:row>12</xdr:row>
      <xdr:rowOff>274790</xdr:rowOff>
    </xdr:to>
    <xdr:grpSp>
      <xdr:nvGrpSpPr>
        <xdr:cNvPr id="47" name="좌경첩2" hidden="1">
          <a:extLst>
            <a:ext uri="{FF2B5EF4-FFF2-40B4-BE49-F238E27FC236}">
              <a16:creationId xmlns:a16="http://schemas.microsoft.com/office/drawing/2014/main" id="{FB74F5F0-5DBA-4BA7-AD06-4A5970F32887}"/>
            </a:ext>
          </a:extLst>
        </xdr:cNvPr>
        <xdr:cNvGrpSpPr/>
      </xdr:nvGrpSpPr>
      <xdr:grpSpPr>
        <a:xfrm flipH="1">
          <a:off x="6306539" y="3654251"/>
          <a:ext cx="372370" cy="716289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48" name="순서도: 처리 47" hidden="1">
            <a:extLst>
              <a:ext uri="{FF2B5EF4-FFF2-40B4-BE49-F238E27FC236}">
                <a16:creationId xmlns:a16="http://schemas.microsoft.com/office/drawing/2014/main" id="{89F8E6BB-48B1-F53D-8EC1-6B6D2917B4A3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9" name="순서도: 처리 48" hidden="1">
            <a:extLst>
              <a:ext uri="{FF2B5EF4-FFF2-40B4-BE49-F238E27FC236}">
                <a16:creationId xmlns:a16="http://schemas.microsoft.com/office/drawing/2014/main" id="{20801F0C-BA00-2300-B715-904A8FD2919A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0" name="순서도: 처리 49" hidden="1">
            <a:extLst>
              <a:ext uri="{FF2B5EF4-FFF2-40B4-BE49-F238E27FC236}">
                <a16:creationId xmlns:a16="http://schemas.microsoft.com/office/drawing/2014/main" id="{DADCF058-1423-A2E1-A319-DC15DB2A6CB9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21</xdr:col>
      <xdr:colOff>128403</xdr:colOff>
      <xdr:row>10</xdr:row>
      <xdr:rowOff>346861</xdr:rowOff>
    </xdr:from>
    <xdr:to>
      <xdr:col>23</xdr:col>
      <xdr:colOff>20812</xdr:colOff>
      <xdr:row>12</xdr:row>
      <xdr:rowOff>287543</xdr:rowOff>
    </xdr:to>
    <xdr:grpSp>
      <xdr:nvGrpSpPr>
        <xdr:cNvPr id="59" name="우경첩2">
          <a:extLst>
            <a:ext uri="{FF2B5EF4-FFF2-40B4-BE49-F238E27FC236}">
              <a16:creationId xmlns:a16="http://schemas.microsoft.com/office/drawing/2014/main" id="{5005E6E0-26A1-4A72-A380-C400AC8798B8}"/>
            </a:ext>
          </a:extLst>
        </xdr:cNvPr>
        <xdr:cNvGrpSpPr/>
      </xdr:nvGrpSpPr>
      <xdr:grpSpPr>
        <a:xfrm>
          <a:off x="9109117" y="3667004"/>
          <a:ext cx="368659" cy="716289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60" name="순서도: 처리 59">
            <a:extLst>
              <a:ext uri="{FF2B5EF4-FFF2-40B4-BE49-F238E27FC236}">
                <a16:creationId xmlns:a16="http://schemas.microsoft.com/office/drawing/2014/main" id="{A5C0E884-E75A-EFA2-B668-4054B7872715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1" name="순서도: 처리 60">
            <a:extLst>
              <a:ext uri="{FF2B5EF4-FFF2-40B4-BE49-F238E27FC236}">
                <a16:creationId xmlns:a16="http://schemas.microsoft.com/office/drawing/2014/main" id="{99B55F01-8445-937F-740E-61C4A251C7B8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2" name="순서도: 처리 61">
            <a:extLst>
              <a:ext uri="{FF2B5EF4-FFF2-40B4-BE49-F238E27FC236}">
                <a16:creationId xmlns:a16="http://schemas.microsoft.com/office/drawing/2014/main" id="{1F63378D-23FC-6C1F-36B7-7EE6FDE95200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21</xdr:col>
      <xdr:colOff>121228</xdr:colOff>
      <xdr:row>19</xdr:row>
      <xdr:rowOff>213507</xdr:rowOff>
    </xdr:from>
    <xdr:to>
      <xdr:col>23</xdr:col>
      <xdr:colOff>13637</xdr:colOff>
      <xdr:row>21</xdr:row>
      <xdr:rowOff>240779</xdr:rowOff>
    </xdr:to>
    <xdr:grpSp>
      <xdr:nvGrpSpPr>
        <xdr:cNvPr id="707" name="우경첩4">
          <a:extLst>
            <a:ext uri="{FF2B5EF4-FFF2-40B4-BE49-F238E27FC236}">
              <a16:creationId xmlns:a16="http://schemas.microsoft.com/office/drawing/2014/main" id="{F2F8462D-33BD-44AB-8CDD-8152FF991C93}"/>
            </a:ext>
          </a:extLst>
        </xdr:cNvPr>
        <xdr:cNvGrpSpPr/>
      </xdr:nvGrpSpPr>
      <xdr:grpSpPr>
        <a:xfrm>
          <a:off x="9101942" y="6581650"/>
          <a:ext cx="368659" cy="721236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708" name="순서도: 처리 707">
            <a:extLst>
              <a:ext uri="{FF2B5EF4-FFF2-40B4-BE49-F238E27FC236}">
                <a16:creationId xmlns:a16="http://schemas.microsoft.com/office/drawing/2014/main" id="{46F2C252-52BB-CA5F-73B3-1A5507AE423A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09" name="순서도: 처리 708">
            <a:extLst>
              <a:ext uri="{FF2B5EF4-FFF2-40B4-BE49-F238E27FC236}">
                <a16:creationId xmlns:a16="http://schemas.microsoft.com/office/drawing/2014/main" id="{0E0463DE-47BA-8A99-179B-4FDEC38BC3A3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10" name="순서도: 처리 709">
            <a:extLst>
              <a:ext uri="{FF2B5EF4-FFF2-40B4-BE49-F238E27FC236}">
                <a16:creationId xmlns:a16="http://schemas.microsoft.com/office/drawing/2014/main" id="{7D52FBAD-DA03-A930-F330-CC64245B1837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9</xdr:col>
      <xdr:colOff>155128</xdr:colOff>
      <xdr:row>19</xdr:row>
      <xdr:rowOff>122843</xdr:rowOff>
    </xdr:from>
    <xdr:to>
      <xdr:col>23</xdr:col>
      <xdr:colOff>22021</xdr:colOff>
      <xdr:row>21</xdr:row>
      <xdr:rowOff>153035</xdr:rowOff>
    </xdr:to>
    <xdr:grpSp>
      <xdr:nvGrpSpPr>
        <xdr:cNvPr id="6" name="양개경첩4" hidden="1">
          <a:extLst>
            <a:ext uri="{FF2B5EF4-FFF2-40B4-BE49-F238E27FC236}">
              <a16:creationId xmlns:a16="http://schemas.microsoft.com/office/drawing/2014/main" id="{F51C2C45-6B2D-E43C-BADC-29F46EDFC3FB}"/>
            </a:ext>
          </a:extLst>
        </xdr:cNvPr>
        <xdr:cNvGrpSpPr/>
      </xdr:nvGrpSpPr>
      <xdr:grpSpPr>
        <a:xfrm>
          <a:off x="6278342" y="6490986"/>
          <a:ext cx="3200643" cy="724156"/>
          <a:chOff x="25179900" y="5145115"/>
          <a:chExt cx="3122711" cy="722920"/>
        </a:xfrm>
      </xdr:grpSpPr>
      <xdr:grpSp>
        <xdr:nvGrpSpPr>
          <xdr:cNvPr id="725" name="양개4" hidden="1">
            <a:extLst>
              <a:ext uri="{FF2B5EF4-FFF2-40B4-BE49-F238E27FC236}">
                <a16:creationId xmlns:a16="http://schemas.microsoft.com/office/drawing/2014/main" id="{EE71750E-AEBD-42B3-BEE7-7CEE0FA8EB53}"/>
              </a:ext>
            </a:extLst>
          </xdr:cNvPr>
          <xdr:cNvGrpSpPr/>
        </xdr:nvGrpSpPr>
        <xdr:grpSpPr>
          <a:xfrm flipH="1">
            <a:off x="25179900" y="5145115"/>
            <a:ext cx="360000" cy="720000"/>
            <a:chOff x="9057746" y="9343926"/>
            <a:chExt cx="107388" cy="281768"/>
          </a:xfrm>
          <a:solidFill>
            <a:schemeClr val="bg2"/>
          </a:solidFill>
        </xdr:grpSpPr>
        <xdr:sp macro="" textlink="">
          <xdr:nvSpPr>
            <xdr:cNvPr id="726" name="순서도: 처리 725" hidden="1">
              <a:extLst>
                <a:ext uri="{FF2B5EF4-FFF2-40B4-BE49-F238E27FC236}">
                  <a16:creationId xmlns:a16="http://schemas.microsoft.com/office/drawing/2014/main" id="{07E1D5F4-2F0F-8DFA-C317-8316202DE62A}"/>
                </a:ext>
              </a:extLst>
            </xdr:cNvPr>
            <xdr:cNvSpPr/>
          </xdr:nvSpPr>
          <xdr:spPr>
            <a:xfrm>
              <a:off x="9119415" y="9343926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27" name="순서도: 처리 726" hidden="1">
              <a:extLst>
                <a:ext uri="{FF2B5EF4-FFF2-40B4-BE49-F238E27FC236}">
                  <a16:creationId xmlns:a16="http://schemas.microsoft.com/office/drawing/2014/main" id="{B0BBBC90-1240-79BC-A625-C92D1284D1DA}"/>
                </a:ext>
              </a:extLst>
            </xdr:cNvPr>
            <xdr:cNvSpPr/>
          </xdr:nvSpPr>
          <xdr:spPr>
            <a:xfrm>
              <a:off x="9118777" y="9522980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28" name="순서도: 처리 727" hidden="1">
              <a:extLst>
                <a:ext uri="{FF2B5EF4-FFF2-40B4-BE49-F238E27FC236}">
                  <a16:creationId xmlns:a16="http://schemas.microsoft.com/office/drawing/2014/main" id="{DF20483B-6699-BD68-FDDB-BB370E04D2E0}"/>
                </a:ext>
              </a:extLst>
            </xdr:cNvPr>
            <xdr:cNvSpPr/>
          </xdr:nvSpPr>
          <xdr:spPr>
            <a:xfrm rot="5400000">
              <a:off x="9051833" y="9454194"/>
              <a:ext cx="74843" cy="63018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grpSp>
        <xdr:nvGrpSpPr>
          <xdr:cNvPr id="741" name="양개4" hidden="1">
            <a:extLst>
              <a:ext uri="{FF2B5EF4-FFF2-40B4-BE49-F238E27FC236}">
                <a16:creationId xmlns:a16="http://schemas.microsoft.com/office/drawing/2014/main" id="{9DE9022B-24AB-4021-ACBD-046B61BFCE70}"/>
              </a:ext>
            </a:extLst>
          </xdr:cNvPr>
          <xdr:cNvGrpSpPr/>
        </xdr:nvGrpSpPr>
        <xdr:grpSpPr>
          <a:xfrm>
            <a:off x="27942611" y="5148035"/>
            <a:ext cx="360000" cy="720000"/>
            <a:chOff x="9057746" y="9343926"/>
            <a:chExt cx="107388" cy="281768"/>
          </a:xfrm>
          <a:solidFill>
            <a:schemeClr val="bg2"/>
          </a:solidFill>
        </xdr:grpSpPr>
        <xdr:sp macro="" textlink="">
          <xdr:nvSpPr>
            <xdr:cNvPr id="742" name="순서도: 처리 741" hidden="1">
              <a:extLst>
                <a:ext uri="{FF2B5EF4-FFF2-40B4-BE49-F238E27FC236}">
                  <a16:creationId xmlns:a16="http://schemas.microsoft.com/office/drawing/2014/main" id="{C8D1E4DF-A3AF-8964-FC8B-F7D6C96F76BC}"/>
                </a:ext>
              </a:extLst>
            </xdr:cNvPr>
            <xdr:cNvSpPr/>
          </xdr:nvSpPr>
          <xdr:spPr>
            <a:xfrm>
              <a:off x="9119415" y="9343926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43" name="순서도: 처리 742" hidden="1">
              <a:extLst>
                <a:ext uri="{FF2B5EF4-FFF2-40B4-BE49-F238E27FC236}">
                  <a16:creationId xmlns:a16="http://schemas.microsoft.com/office/drawing/2014/main" id="{6BF5681A-24B8-889F-F1FF-53A427E4D185}"/>
                </a:ext>
              </a:extLst>
            </xdr:cNvPr>
            <xdr:cNvSpPr/>
          </xdr:nvSpPr>
          <xdr:spPr>
            <a:xfrm>
              <a:off x="9118777" y="9522980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44" name="순서도: 처리 743" hidden="1">
              <a:extLst>
                <a:ext uri="{FF2B5EF4-FFF2-40B4-BE49-F238E27FC236}">
                  <a16:creationId xmlns:a16="http://schemas.microsoft.com/office/drawing/2014/main" id="{4D651DC9-3196-0AF4-6CF0-BD1B9A4C85D5}"/>
                </a:ext>
              </a:extLst>
            </xdr:cNvPr>
            <xdr:cNvSpPr/>
          </xdr:nvSpPr>
          <xdr:spPr>
            <a:xfrm rot="5400000">
              <a:off x="9051833" y="9454194"/>
              <a:ext cx="74843" cy="63018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</xdr:grpSp>
    <xdr:clientData/>
  </xdr:twoCellAnchor>
  <xdr:twoCellAnchor>
    <xdr:from>
      <xdr:col>9</xdr:col>
      <xdr:colOff>161705</xdr:colOff>
      <xdr:row>10</xdr:row>
      <xdr:rowOff>251488</xdr:rowOff>
    </xdr:from>
    <xdr:to>
      <xdr:col>22</xdr:col>
      <xdr:colOff>240458</xdr:colOff>
      <xdr:row>12</xdr:row>
      <xdr:rowOff>264363</xdr:rowOff>
    </xdr:to>
    <xdr:grpSp>
      <xdr:nvGrpSpPr>
        <xdr:cNvPr id="5" name="양개경첩2" hidden="1">
          <a:extLst>
            <a:ext uri="{FF2B5EF4-FFF2-40B4-BE49-F238E27FC236}">
              <a16:creationId xmlns:a16="http://schemas.microsoft.com/office/drawing/2014/main" id="{0EE076D5-FD12-06F0-A87D-FED50A1D74EE}"/>
            </a:ext>
          </a:extLst>
        </xdr:cNvPr>
        <xdr:cNvGrpSpPr/>
      </xdr:nvGrpSpPr>
      <xdr:grpSpPr>
        <a:xfrm>
          <a:off x="6284919" y="3571631"/>
          <a:ext cx="3167575" cy="788482"/>
          <a:chOff x="25186477" y="2485531"/>
          <a:chExt cx="3092117" cy="792193"/>
        </a:xfrm>
      </xdr:grpSpPr>
      <xdr:grpSp>
        <xdr:nvGrpSpPr>
          <xdr:cNvPr id="729" name="좌경첩2" hidden="1">
            <a:extLst>
              <a:ext uri="{FF2B5EF4-FFF2-40B4-BE49-F238E27FC236}">
                <a16:creationId xmlns:a16="http://schemas.microsoft.com/office/drawing/2014/main" id="{860BB74C-6889-4593-892C-95E62967EBDF}"/>
              </a:ext>
            </a:extLst>
          </xdr:cNvPr>
          <xdr:cNvGrpSpPr/>
        </xdr:nvGrpSpPr>
        <xdr:grpSpPr>
          <a:xfrm flipH="1">
            <a:off x="25186477" y="2485531"/>
            <a:ext cx="360000" cy="720000"/>
            <a:chOff x="9057746" y="9343926"/>
            <a:chExt cx="107388" cy="281768"/>
          </a:xfrm>
          <a:solidFill>
            <a:schemeClr val="bg2"/>
          </a:solidFill>
        </xdr:grpSpPr>
        <xdr:sp macro="" textlink="">
          <xdr:nvSpPr>
            <xdr:cNvPr id="730" name="순서도: 처리 729" hidden="1">
              <a:extLst>
                <a:ext uri="{FF2B5EF4-FFF2-40B4-BE49-F238E27FC236}">
                  <a16:creationId xmlns:a16="http://schemas.microsoft.com/office/drawing/2014/main" id="{81085071-807D-4998-C913-553BC3CA3B4B}"/>
                </a:ext>
              </a:extLst>
            </xdr:cNvPr>
            <xdr:cNvSpPr/>
          </xdr:nvSpPr>
          <xdr:spPr>
            <a:xfrm>
              <a:off x="9119415" y="9343926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31" name="순서도: 처리 730" hidden="1">
              <a:extLst>
                <a:ext uri="{FF2B5EF4-FFF2-40B4-BE49-F238E27FC236}">
                  <a16:creationId xmlns:a16="http://schemas.microsoft.com/office/drawing/2014/main" id="{A0DC1792-694E-872A-1963-30E78DC62AEE}"/>
                </a:ext>
              </a:extLst>
            </xdr:cNvPr>
            <xdr:cNvSpPr/>
          </xdr:nvSpPr>
          <xdr:spPr>
            <a:xfrm>
              <a:off x="9118777" y="9522980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32" name="순서도: 처리 731" hidden="1">
              <a:extLst>
                <a:ext uri="{FF2B5EF4-FFF2-40B4-BE49-F238E27FC236}">
                  <a16:creationId xmlns:a16="http://schemas.microsoft.com/office/drawing/2014/main" id="{5395EB19-794B-F625-9AC8-32F14CEF48F8}"/>
                </a:ext>
              </a:extLst>
            </xdr:cNvPr>
            <xdr:cNvSpPr/>
          </xdr:nvSpPr>
          <xdr:spPr>
            <a:xfrm rot="5400000">
              <a:off x="9051833" y="9454194"/>
              <a:ext cx="74843" cy="63018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grpSp>
        <xdr:nvGrpSpPr>
          <xdr:cNvPr id="745" name="좌경첩2" hidden="1">
            <a:extLst>
              <a:ext uri="{FF2B5EF4-FFF2-40B4-BE49-F238E27FC236}">
                <a16:creationId xmlns:a16="http://schemas.microsoft.com/office/drawing/2014/main" id="{5C936FA0-2D06-4735-8BB9-870B186F0142}"/>
              </a:ext>
            </a:extLst>
          </xdr:cNvPr>
          <xdr:cNvGrpSpPr/>
        </xdr:nvGrpSpPr>
        <xdr:grpSpPr>
          <a:xfrm>
            <a:off x="27918594" y="2557724"/>
            <a:ext cx="360000" cy="720000"/>
            <a:chOff x="9057746" y="9343926"/>
            <a:chExt cx="107388" cy="281768"/>
          </a:xfrm>
          <a:solidFill>
            <a:schemeClr val="bg2"/>
          </a:solidFill>
        </xdr:grpSpPr>
        <xdr:sp macro="" textlink="">
          <xdr:nvSpPr>
            <xdr:cNvPr id="746" name="순서도: 처리 745" hidden="1">
              <a:extLst>
                <a:ext uri="{FF2B5EF4-FFF2-40B4-BE49-F238E27FC236}">
                  <a16:creationId xmlns:a16="http://schemas.microsoft.com/office/drawing/2014/main" id="{7697A016-8F89-C92E-3DDF-47862D06A903}"/>
                </a:ext>
              </a:extLst>
            </xdr:cNvPr>
            <xdr:cNvSpPr/>
          </xdr:nvSpPr>
          <xdr:spPr>
            <a:xfrm>
              <a:off x="9119415" y="9343926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47" name="순서도: 처리 746" hidden="1">
              <a:extLst>
                <a:ext uri="{FF2B5EF4-FFF2-40B4-BE49-F238E27FC236}">
                  <a16:creationId xmlns:a16="http://schemas.microsoft.com/office/drawing/2014/main" id="{3BDD6691-55F8-54CA-1A32-326B1276CDF4}"/>
                </a:ext>
              </a:extLst>
            </xdr:cNvPr>
            <xdr:cNvSpPr/>
          </xdr:nvSpPr>
          <xdr:spPr>
            <a:xfrm>
              <a:off x="9118777" y="9522980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48" name="순서도: 처리 747" hidden="1">
              <a:extLst>
                <a:ext uri="{FF2B5EF4-FFF2-40B4-BE49-F238E27FC236}">
                  <a16:creationId xmlns:a16="http://schemas.microsoft.com/office/drawing/2014/main" id="{E968AA12-005F-A35E-C263-635C0CA3278F}"/>
                </a:ext>
              </a:extLst>
            </xdr:cNvPr>
            <xdr:cNvSpPr/>
          </xdr:nvSpPr>
          <xdr:spPr>
            <a:xfrm rot="5400000">
              <a:off x="9051833" y="9454194"/>
              <a:ext cx="74843" cy="63018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</xdr:grpSp>
    <xdr:clientData/>
  </xdr:twoCellAnchor>
  <xdr:twoCellAnchor>
    <xdr:from>
      <xdr:col>21</xdr:col>
      <xdr:colOff>122960</xdr:colOff>
      <xdr:row>14</xdr:row>
      <xdr:rowOff>35870</xdr:rowOff>
    </xdr:from>
    <xdr:to>
      <xdr:col>23</xdr:col>
      <xdr:colOff>15369</xdr:colOff>
      <xdr:row>16</xdr:row>
      <xdr:rowOff>167052</xdr:rowOff>
    </xdr:to>
    <xdr:grpSp>
      <xdr:nvGrpSpPr>
        <xdr:cNvPr id="764" name="우경첩추가3" hidden="1">
          <a:extLst>
            <a:ext uri="{FF2B5EF4-FFF2-40B4-BE49-F238E27FC236}">
              <a16:creationId xmlns:a16="http://schemas.microsoft.com/office/drawing/2014/main" id="{11CA79B8-854C-4819-A08E-EE778D196A2A}"/>
            </a:ext>
          </a:extLst>
        </xdr:cNvPr>
        <xdr:cNvGrpSpPr/>
      </xdr:nvGrpSpPr>
      <xdr:grpSpPr>
        <a:xfrm>
          <a:off x="9103674" y="4730334"/>
          <a:ext cx="368659" cy="729897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765" name="순서도: 처리 764" hidden="1">
            <a:extLst>
              <a:ext uri="{FF2B5EF4-FFF2-40B4-BE49-F238E27FC236}">
                <a16:creationId xmlns:a16="http://schemas.microsoft.com/office/drawing/2014/main" id="{D0937E92-0E2B-CCAD-C4E2-703FC603E044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66" name="순서도: 처리 765" hidden="1">
            <a:extLst>
              <a:ext uri="{FF2B5EF4-FFF2-40B4-BE49-F238E27FC236}">
                <a16:creationId xmlns:a16="http://schemas.microsoft.com/office/drawing/2014/main" id="{8BF46CD1-22E3-B97B-57E2-ED40CB7AD712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67" name="순서도: 처리 766" hidden="1">
            <a:extLst>
              <a:ext uri="{FF2B5EF4-FFF2-40B4-BE49-F238E27FC236}">
                <a16:creationId xmlns:a16="http://schemas.microsoft.com/office/drawing/2014/main" id="{1E1847AC-C421-ED7D-CECE-5094967C6B70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9</xdr:col>
      <xdr:colOff>162296</xdr:colOff>
      <xdr:row>14</xdr:row>
      <xdr:rowOff>47862</xdr:rowOff>
    </xdr:from>
    <xdr:to>
      <xdr:col>11</xdr:col>
      <xdr:colOff>72023</xdr:colOff>
      <xdr:row>16</xdr:row>
      <xdr:rowOff>179044</xdr:rowOff>
    </xdr:to>
    <xdr:grpSp>
      <xdr:nvGrpSpPr>
        <xdr:cNvPr id="768" name="좌경첩추가3" hidden="1">
          <a:extLst>
            <a:ext uri="{FF2B5EF4-FFF2-40B4-BE49-F238E27FC236}">
              <a16:creationId xmlns:a16="http://schemas.microsoft.com/office/drawing/2014/main" id="{49916823-EDE1-441B-95A5-18AD41C0D1EE}"/>
            </a:ext>
          </a:extLst>
        </xdr:cNvPr>
        <xdr:cNvGrpSpPr/>
      </xdr:nvGrpSpPr>
      <xdr:grpSpPr>
        <a:xfrm flipH="1">
          <a:off x="6285510" y="4742326"/>
          <a:ext cx="372370" cy="729897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769" name="순서도: 처리 768" hidden="1">
            <a:extLst>
              <a:ext uri="{FF2B5EF4-FFF2-40B4-BE49-F238E27FC236}">
                <a16:creationId xmlns:a16="http://schemas.microsoft.com/office/drawing/2014/main" id="{87C3E2FB-C1CB-BFBE-FE32-4859FF472436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70" name="순서도: 처리 769" hidden="1">
            <a:extLst>
              <a:ext uri="{FF2B5EF4-FFF2-40B4-BE49-F238E27FC236}">
                <a16:creationId xmlns:a16="http://schemas.microsoft.com/office/drawing/2014/main" id="{20C1DC97-BF3C-79F0-FFAA-4668F0C3821E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71" name="순서도: 처리 770" hidden="1">
            <a:extLst>
              <a:ext uri="{FF2B5EF4-FFF2-40B4-BE49-F238E27FC236}">
                <a16:creationId xmlns:a16="http://schemas.microsoft.com/office/drawing/2014/main" id="{F34A8DE8-5E90-B4C5-538B-20DB30C7940E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9</xdr:col>
      <xdr:colOff>151665</xdr:colOff>
      <xdr:row>7</xdr:row>
      <xdr:rowOff>292563</xdr:rowOff>
    </xdr:from>
    <xdr:to>
      <xdr:col>23</xdr:col>
      <xdr:colOff>18558</xdr:colOff>
      <xdr:row>10</xdr:row>
      <xdr:rowOff>132255</xdr:rowOff>
    </xdr:to>
    <xdr:grpSp>
      <xdr:nvGrpSpPr>
        <xdr:cNvPr id="7" name="양개경첩1" hidden="1">
          <a:extLst>
            <a:ext uri="{FF2B5EF4-FFF2-40B4-BE49-F238E27FC236}">
              <a16:creationId xmlns:a16="http://schemas.microsoft.com/office/drawing/2014/main" id="{85D5E45F-712E-4D4A-8376-F11A06B837A7}"/>
            </a:ext>
          </a:extLst>
        </xdr:cNvPr>
        <xdr:cNvGrpSpPr/>
      </xdr:nvGrpSpPr>
      <xdr:grpSpPr>
        <a:xfrm>
          <a:off x="6274879" y="2714634"/>
          <a:ext cx="3200643" cy="737764"/>
          <a:chOff x="25179900" y="5145115"/>
          <a:chExt cx="3122711" cy="722920"/>
        </a:xfrm>
      </xdr:grpSpPr>
      <xdr:grpSp>
        <xdr:nvGrpSpPr>
          <xdr:cNvPr id="9" name="양개4" hidden="1">
            <a:extLst>
              <a:ext uri="{FF2B5EF4-FFF2-40B4-BE49-F238E27FC236}">
                <a16:creationId xmlns:a16="http://schemas.microsoft.com/office/drawing/2014/main" id="{AEE7EB32-D81D-3442-1819-D6E610171260}"/>
              </a:ext>
            </a:extLst>
          </xdr:cNvPr>
          <xdr:cNvGrpSpPr/>
        </xdr:nvGrpSpPr>
        <xdr:grpSpPr>
          <a:xfrm flipH="1">
            <a:off x="25179900" y="5145115"/>
            <a:ext cx="360000" cy="720000"/>
            <a:chOff x="9057746" y="9343926"/>
            <a:chExt cx="107388" cy="281768"/>
          </a:xfrm>
          <a:solidFill>
            <a:schemeClr val="bg2"/>
          </a:solidFill>
        </xdr:grpSpPr>
        <xdr:sp macro="" textlink="">
          <xdr:nvSpPr>
            <xdr:cNvPr id="16" name="순서도: 처리 15" hidden="1">
              <a:extLst>
                <a:ext uri="{FF2B5EF4-FFF2-40B4-BE49-F238E27FC236}">
                  <a16:creationId xmlns:a16="http://schemas.microsoft.com/office/drawing/2014/main" id="{9C8DB003-E074-C214-353C-113D74ECDBC8}"/>
                </a:ext>
              </a:extLst>
            </xdr:cNvPr>
            <xdr:cNvSpPr/>
          </xdr:nvSpPr>
          <xdr:spPr>
            <a:xfrm>
              <a:off x="9119415" y="9343926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17" name="순서도: 처리 16" hidden="1">
              <a:extLst>
                <a:ext uri="{FF2B5EF4-FFF2-40B4-BE49-F238E27FC236}">
                  <a16:creationId xmlns:a16="http://schemas.microsoft.com/office/drawing/2014/main" id="{27FA0477-45A6-02F1-C801-CF30F461D409}"/>
                </a:ext>
              </a:extLst>
            </xdr:cNvPr>
            <xdr:cNvSpPr/>
          </xdr:nvSpPr>
          <xdr:spPr>
            <a:xfrm>
              <a:off x="9118777" y="9522980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18" name="순서도: 처리 17" hidden="1">
              <a:extLst>
                <a:ext uri="{FF2B5EF4-FFF2-40B4-BE49-F238E27FC236}">
                  <a16:creationId xmlns:a16="http://schemas.microsoft.com/office/drawing/2014/main" id="{3B24F77F-BD14-E459-7E1E-4D55E92D7ACF}"/>
                </a:ext>
              </a:extLst>
            </xdr:cNvPr>
            <xdr:cNvSpPr/>
          </xdr:nvSpPr>
          <xdr:spPr>
            <a:xfrm rot="5400000">
              <a:off x="9051833" y="9454194"/>
              <a:ext cx="74843" cy="63018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grpSp>
        <xdr:nvGrpSpPr>
          <xdr:cNvPr id="12" name="양개4" hidden="1">
            <a:extLst>
              <a:ext uri="{FF2B5EF4-FFF2-40B4-BE49-F238E27FC236}">
                <a16:creationId xmlns:a16="http://schemas.microsoft.com/office/drawing/2014/main" id="{393F6759-0B34-44F7-292F-D800A95D9820}"/>
              </a:ext>
            </a:extLst>
          </xdr:cNvPr>
          <xdr:cNvGrpSpPr/>
        </xdr:nvGrpSpPr>
        <xdr:grpSpPr>
          <a:xfrm>
            <a:off x="27942611" y="5148035"/>
            <a:ext cx="360000" cy="720000"/>
            <a:chOff x="9057746" y="9343926"/>
            <a:chExt cx="107388" cy="281768"/>
          </a:xfrm>
          <a:solidFill>
            <a:schemeClr val="bg2"/>
          </a:solidFill>
        </xdr:grpSpPr>
        <xdr:sp macro="" textlink="">
          <xdr:nvSpPr>
            <xdr:cNvPr id="13" name="순서도: 처리 12" hidden="1">
              <a:extLst>
                <a:ext uri="{FF2B5EF4-FFF2-40B4-BE49-F238E27FC236}">
                  <a16:creationId xmlns:a16="http://schemas.microsoft.com/office/drawing/2014/main" id="{F2BB1F1E-B8D6-2FC7-6B56-3DADCA3597B7}"/>
                </a:ext>
              </a:extLst>
            </xdr:cNvPr>
            <xdr:cNvSpPr/>
          </xdr:nvSpPr>
          <xdr:spPr>
            <a:xfrm>
              <a:off x="9119415" y="9343926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14" name="순서도: 처리 13" hidden="1">
              <a:extLst>
                <a:ext uri="{FF2B5EF4-FFF2-40B4-BE49-F238E27FC236}">
                  <a16:creationId xmlns:a16="http://schemas.microsoft.com/office/drawing/2014/main" id="{0A0B0FA9-7FEA-AC6A-7550-3309C897CDB8}"/>
                </a:ext>
              </a:extLst>
            </xdr:cNvPr>
            <xdr:cNvSpPr/>
          </xdr:nvSpPr>
          <xdr:spPr>
            <a:xfrm>
              <a:off x="9118777" y="9522980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15" name="순서도: 처리 14" hidden="1">
              <a:extLst>
                <a:ext uri="{FF2B5EF4-FFF2-40B4-BE49-F238E27FC236}">
                  <a16:creationId xmlns:a16="http://schemas.microsoft.com/office/drawing/2014/main" id="{C7849892-6081-3901-0E2E-F51B234E0869}"/>
                </a:ext>
              </a:extLst>
            </xdr:cNvPr>
            <xdr:cNvSpPr/>
          </xdr:nvSpPr>
          <xdr:spPr>
            <a:xfrm rot="5400000">
              <a:off x="9051833" y="9454194"/>
              <a:ext cx="74843" cy="63018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</xdr:grpSp>
    <xdr:clientData/>
  </xdr:twoCellAnchor>
  <xdr:twoCellAnchor>
    <xdr:from>
      <xdr:col>9</xdr:col>
      <xdr:colOff>148201</xdr:colOff>
      <xdr:row>13</xdr:row>
      <xdr:rowOff>98601</xdr:rowOff>
    </xdr:from>
    <xdr:to>
      <xdr:col>23</xdr:col>
      <xdr:colOff>15094</xdr:colOff>
      <xdr:row>15</xdr:row>
      <xdr:rowOff>232703</xdr:rowOff>
    </xdr:to>
    <xdr:grpSp>
      <xdr:nvGrpSpPr>
        <xdr:cNvPr id="19" name="양개경첩3" hidden="1">
          <a:extLst>
            <a:ext uri="{FF2B5EF4-FFF2-40B4-BE49-F238E27FC236}">
              <a16:creationId xmlns:a16="http://schemas.microsoft.com/office/drawing/2014/main" id="{E7E0E96C-7E88-4F21-966F-D12D1933B018}"/>
            </a:ext>
          </a:extLst>
        </xdr:cNvPr>
        <xdr:cNvGrpSpPr/>
      </xdr:nvGrpSpPr>
      <xdr:grpSpPr>
        <a:xfrm>
          <a:off x="6271415" y="4493708"/>
          <a:ext cx="3200643" cy="732816"/>
          <a:chOff x="25179900" y="5145115"/>
          <a:chExt cx="3122711" cy="722920"/>
        </a:xfrm>
      </xdr:grpSpPr>
      <xdr:grpSp>
        <xdr:nvGrpSpPr>
          <xdr:cNvPr id="20" name="양개4" hidden="1">
            <a:extLst>
              <a:ext uri="{FF2B5EF4-FFF2-40B4-BE49-F238E27FC236}">
                <a16:creationId xmlns:a16="http://schemas.microsoft.com/office/drawing/2014/main" id="{45DBBFE5-946C-F77D-60A6-66F4F6AF37E0}"/>
              </a:ext>
            </a:extLst>
          </xdr:cNvPr>
          <xdr:cNvGrpSpPr/>
        </xdr:nvGrpSpPr>
        <xdr:grpSpPr>
          <a:xfrm flipH="1">
            <a:off x="25179900" y="5145115"/>
            <a:ext cx="360000" cy="720000"/>
            <a:chOff x="9057746" y="9343926"/>
            <a:chExt cx="107388" cy="281768"/>
          </a:xfrm>
          <a:solidFill>
            <a:schemeClr val="bg2"/>
          </a:solidFill>
        </xdr:grpSpPr>
        <xdr:sp macro="" textlink="">
          <xdr:nvSpPr>
            <xdr:cNvPr id="673" name="순서도: 처리 672" hidden="1">
              <a:extLst>
                <a:ext uri="{FF2B5EF4-FFF2-40B4-BE49-F238E27FC236}">
                  <a16:creationId xmlns:a16="http://schemas.microsoft.com/office/drawing/2014/main" id="{ACCA30B8-794E-1CEE-30EE-932F1176B814}"/>
                </a:ext>
              </a:extLst>
            </xdr:cNvPr>
            <xdr:cNvSpPr/>
          </xdr:nvSpPr>
          <xdr:spPr>
            <a:xfrm>
              <a:off x="9119415" y="9343926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674" name="순서도: 처리 673" hidden="1">
              <a:extLst>
                <a:ext uri="{FF2B5EF4-FFF2-40B4-BE49-F238E27FC236}">
                  <a16:creationId xmlns:a16="http://schemas.microsoft.com/office/drawing/2014/main" id="{58E9F487-DA1A-2ED9-5A43-728E3E00FEB8}"/>
                </a:ext>
              </a:extLst>
            </xdr:cNvPr>
            <xdr:cNvSpPr/>
          </xdr:nvSpPr>
          <xdr:spPr>
            <a:xfrm>
              <a:off x="9118777" y="9522980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675" name="순서도: 처리 674" hidden="1">
              <a:extLst>
                <a:ext uri="{FF2B5EF4-FFF2-40B4-BE49-F238E27FC236}">
                  <a16:creationId xmlns:a16="http://schemas.microsoft.com/office/drawing/2014/main" id="{0E25C507-A537-2731-5546-8CC47E85D561}"/>
                </a:ext>
              </a:extLst>
            </xdr:cNvPr>
            <xdr:cNvSpPr/>
          </xdr:nvSpPr>
          <xdr:spPr>
            <a:xfrm rot="5400000">
              <a:off x="9051833" y="9454194"/>
              <a:ext cx="74843" cy="63018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grpSp>
        <xdr:nvGrpSpPr>
          <xdr:cNvPr id="29" name="양개4" hidden="1">
            <a:extLst>
              <a:ext uri="{FF2B5EF4-FFF2-40B4-BE49-F238E27FC236}">
                <a16:creationId xmlns:a16="http://schemas.microsoft.com/office/drawing/2014/main" id="{6321D773-B3DA-A4CA-10F4-8B67C7F37320}"/>
              </a:ext>
            </a:extLst>
          </xdr:cNvPr>
          <xdr:cNvGrpSpPr/>
        </xdr:nvGrpSpPr>
        <xdr:grpSpPr>
          <a:xfrm>
            <a:off x="27942611" y="5148035"/>
            <a:ext cx="360000" cy="720000"/>
            <a:chOff x="9057746" y="9343926"/>
            <a:chExt cx="107388" cy="281768"/>
          </a:xfrm>
          <a:solidFill>
            <a:schemeClr val="bg2"/>
          </a:solidFill>
        </xdr:grpSpPr>
        <xdr:sp macro="" textlink="">
          <xdr:nvSpPr>
            <xdr:cNvPr id="30" name="순서도: 처리 29" hidden="1">
              <a:extLst>
                <a:ext uri="{FF2B5EF4-FFF2-40B4-BE49-F238E27FC236}">
                  <a16:creationId xmlns:a16="http://schemas.microsoft.com/office/drawing/2014/main" id="{7064E5E2-4AA3-54A8-1455-ADF021158F86}"/>
                </a:ext>
              </a:extLst>
            </xdr:cNvPr>
            <xdr:cNvSpPr/>
          </xdr:nvSpPr>
          <xdr:spPr>
            <a:xfrm>
              <a:off x="9119415" y="9343926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31" name="순서도: 처리 30" hidden="1">
              <a:extLst>
                <a:ext uri="{FF2B5EF4-FFF2-40B4-BE49-F238E27FC236}">
                  <a16:creationId xmlns:a16="http://schemas.microsoft.com/office/drawing/2014/main" id="{CCE7E798-259D-9D8B-DB86-75516CBB3B2C}"/>
                </a:ext>
              </a:extLst>
            </xdr:cNvPr>
            <xdr:cNvSpPr/>
          </xdr:nvSpPr>
          <xdr:spPr>
            <a:xfrm>
              <a:off x="9118777" y="9522980"/>
              <a:ext cx="45719" cy="102714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672" name="순서도: 처리 671" hidden="1">
              <a:extLst>
                <a:ext uri="{FF2B5EF4-FFF2-40B4-BE49-F238E27FC236}">
                  <a16:creationId xmlns:a16="http://schemas.microsoft.com/office/drawing/2014/main" id="{861307B5-681D-23EE-3AAC-5FD918C84390}"/>
                </a:ext>
              </a:extLst>
            </xdr:cNvPr>
            <xdr:cNvSpPr/>
          </xdr:nvSpPr>
          <xdr:spPr>
            <a:xfrm rot="5400000">
              <a:off x="9051833" y="9454194"/>
              <a:ext cx="74843" cy="63018"/>
            </a:xfrm>
            <a:prstGeom prst="flowChartProcess">
              <a:avLst/>
            </a:prstGeom>
            <a:grpFill/>
            <a:ln w="254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</xdr:grpSp>
    <xdr:clientData/>
  </xdr:twoCellAnchor>
  <xdr:twoCellAnchor>
    <xdr:from>
      <xdr:col>9</xdr:col>
      <xdr:colOff>179862</xdr:colOff>
      <xdr:row>13</xdr:row>
      <xdr:rowOff>226736</xdr:rowOff>
    </xdr:from>
    <xdr:to>
      <xdr:col>11</xdr:col>
      <xdr:colOff>89589</xdr:colOff>
      <xdr:row>16</xdr:row>
      <xdr:rowOff>63509</xdr:rowOff>
    </xdr:to>
    <xdr:grpSp>
      <xdr:nvGrpSpPr>
        <xdr:cNvPr id="2" name="좌경첩3" hidden="1">
          <a:extLst>
            <a:ext uri="{FF2B5EF4-FFF2-40B4-BE49-F238E27FC236}">
              <a16:creationId xmlns:a16="http://schemas.microsoft.com/office/drawing/2014/main" id="{170F7C6E-9686-48B5-BBB4-99FB167935F8}"/>
            </a:ext>
          </a:extLst>
        </xdr:cNvPr>
        <xdr:cNvGrpSpPr/>
      </xdr:nvGrpSpPr>
      <xdr:grpSpPr>
        <a:xfrm flipH="1">
          <a:off x="6303076" y="4621843"/>
          <a:ext cx="372370" cy="734845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676" name="순서도: 처리 675" hidden="1">
            <a:extLst>
              <a:ext uri="{FF2B5EF4-FFF2-40B4-BE49-F238E27FC236}">
                <a16:creationId xmlns:a16="http://schemas.microsoft.com/office/drawing/2014/main" id="{F3231C0C-ED11-8D7F-5690-DF1399309A4C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77" name="순서도: 처리 676" hidden="1">
            <a:extLst>
              <a:ext uri="{FF2B5EF4-FFF2-40B4-BE49-F238E27FC236}">
                <a16:creationId xmlns:a16="http://schemas.microsoft.com/office/drawing/2014/main" id="{2373A300-AD08-10D6-E5C1-7A1EB65F4B9F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78" name="순서도: 처리 677" hidden="1">
            <a:extLst>
              <a:ext uri="{FF2B5EF4-FFF2-40B4-BE49-F238E27FC236}">
                <a16:creationId xmlns:a16="http://schemas.microsoft.com/office/drawing/2014/main" id="{0594FEA7-FD5D-CB0E-F93F-733CF0692CE4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21</xdr:col>
      <xdr:colOff>107621</xdr:colOff>
      <xdr:row>13</xdr:row>
      <xdr:rowOff>274126</xdr:rowOff>
    </xdr:from>
    <xdr:to>
      <xdr:col>23</xdr:col>
      <xdr:colOff>30</xdr:colOff>
      <xdr:row>16</xdr:row>
      <xdr:rowOff>110899</xdr:rowOff>
    </xdr:to>
    <xdr:grpSp>
      <xdr:nvGrpSpPr>
        <xdr:cNvPr id="683" name="우경첩3" hidden="1">
          <a:extLst>
            <a:ext uri="{FF2B5EF4-FFF2-40B4-BE49-F238E27FC236}">
              <a16:creationId xmlns:a16="http://schemas.microsoft.com/office/drawing/2014/main" id="{365C74BE-7577-4DA6-96B6-3D546CD93EF0}"/>
            </a:ext>
          </a:extLst>
        </xdr:cNvPr>
        <xdr:cNvGrpSpPr/>
      </xdr:nvGrpSpPr>
      <xdr:grpSpPr>
        <a:xfrm>
          <a:off x="9088335" y="4669233"/>
          <a:ext cx="368659" cy="734845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684" name="순서도: 처리 683" hidden="1">
            <a:extLst>
              <a:ext uri="{FF2B5EF4-FFF2-40B4-BE49-F238E27FC236}">
                <a16:creationId xmlns:a16="http://schemas.microsoft.com/office/drawing/2014/main" id="{FF2A6136-EED4-EA82-B221-CC56158F6909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85" name="순서도: 처리 684" hidden="1">
            <a:extLst>
              <a:ext uri="{FF2B5EF4-FFF2-40B4-BE49-F238E27FC236}">
                <a16:creationId xmlns:a16="http://schemas.microsoft.com/office/drawing/2014/main" id="{467D5140-2FA7-6AFE-2388-68D1C30DD97F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86" name="순서도: 처리 685" hidden="1">
            <a:extLst>
              <a:ext uri="{FF2B5EF4-FFF2-40B4-BE49-F238E27FC236}">
                <a16:creationId xmlns:a16="http://schemas.microsoft.com/office/drawing/2014/main" id="{BB0FA062-9476-A33F-6D11-A467B191F060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9</xdr:col>
      <xdr:colOff>13607</xdr:colOff>
      <xdr:row>22</xdr:row>
      <xdr:rowOff>242453</xdr:rowOff>
    </xdr:from>
    <xdr:to>
      <xdr:col>23</xdr:col>
      <xdr:colOff>173182</xdr:colOff>
      <xdr:row>23</xdr:row>
      <xdr:rowOff>294407</xdr:rowOff>
    </xdr:to>
    <xdr:sp macro="" textlink="">
      <xdr:nvSpPr>
        <xdr:cNvPr id="682" name="직사각형 3">
          <a:extLst>
            <a:ext uri="{FF2B5EF4-FFF2-40B4-BE49-F238E27FC236}">
              <a16:creationId xmlns:a16="http://schemas.microsoft.com/office/drawing/2014/main" id="{F51A3A8F-8D6F-4A27-81E2-BC206F981CD7}"/>
            </a:ext>
          </a:extLst>
        </xdr:cNvPr>
        <xdr:cNvSpPr/>
      </xdr:nvSpPr>
      <xdr:spPr>
        <a:xfrm>
          <a:off x="6109607" y="7550726"/>
          <a:ext cx="3415393" cy="346363"/>
        </a:xfrm>
        <a:prstGeom prst="rect">
          <a:avLst/>
        </a:prstGeom>
        <a:solidFill>
          <a:srgbClr val="80808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altLang="ko-KR" sz="1100" kern="1200"/>
        </a:p>
        <a:p>
          <a:pPr algn="l"/>
          <a:endParaRPr lang="ko-KR" altLang="en-US" sz="1100" kern="1200"/>
        </a:p>
      </xdr:txBody>
    </xdr:sp>
    <xdr:clientData/>
  </xdr:twoCellAnchor>
  <xdr:twoCellAnchor>
    <xdr:from>
      <xdr:col>8</xdr:col>
      <xdr:colOff>216487</xdr:colOff>
      <xdr:row>22</xdr:row>
      <xdr:rowOff>235031</xdr:rowOff>
    </xdr:from>
    <xdr:to>
      <xdr:col>23</xdr:col>
      <xdr:colOff>190500</xdr:colOff>
      <xdr:row>23</xdr:row>
      <xdr:rowOff>103907</xdr:rowOff>
    </xdr:to>
    <xdr:sp macro="" textlink="">
      <xdr:nvSpPr>
        <xdr:cNvPr id="687" name="직사각형 4">
          <a:extLst>
            <a:ext uri="{FF2B5EF4-FFF2-40B4-BE49-F238E27FC236}">
              <a16:creationId xmlns:a16="http://schemas.microsoft.com/office/drawing/2014/main" id="{9BC9AF4A-B86E-4B99-849C-46593DD3C12A}"/>
            </a:ext>
          </a:extLst>
        </xdr:cNvPr>
        <xdr:cNvSpPr/>
      </xdr:nvSpPr>
      <xdr:spPr>
        <a:xfrm>
          <a:off x="6087351" y="7543304"/>
          <a:ext cx="3454967" cy="163285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 editAs="oneCell">
    <xdr:from>
      <xdr:col>18</xdr:col>
      <xdr:colOff>207817</xdr:colOff>
      <xdr:row>12</xdr:row>
      <xdr:rowOff>65207</xdr:rowOff>
    </xdr:from>
    <xdr:to>
      <xdr:col>23</xdr:col>
      <xdr:colOff>25973</xdr:colOff>
      <xdr:row>17</xdr:row>
      <xdr:rowOff>134480</xdr:rowOff>
    </xdr:to>
    <xdr:pic>
      <xdr:nvPicPr>
        <xdr:cNvPr id="679" name="좌경첩0전자키(MS100)" hidden="1">
          <a:extLst>
            <a:ext uri="{FF2B5EF4-FFF2-40B4-BE49-F238E27FC236}">
              <a16:creationId xmlns:a16="http://schemas.microsoft.com/office/drawing/2014/main" id="{75F6A8EB-6514-47F5-95D0-627BCD7F3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31" b="90034" l="9561" r="89406">
                      <a14:foregroundMark x1="23514" y1="1031" x2="23514" y2="1031"/>
                      <a14:foregroundMark x1="33075" y1="90034" x2="33075" y2="90034"/>
                      <a14:backgroundMark x1="29199" y1="5670" x2="42119" y2="5326"/>
                      <a14:backgroundMark x1="26873" y1="2234" x2="27132" y2="4124"/>
                      <a14:backgroundMark x1="23514" y1="1375" x2="26098" y2="93299"/>
                      <a14:backgroundMark x1="25840" y1="27835" x2="25581" y2="24055"/>
                      <a14:backgroundMark x1="25840" y1="9794" x2="26615" y2="70103"/>
                      <a14:backgroundMark x1="44186" y1="63746" x2="43669" y2="90550"/>
                      <a14:backgroundMark x1="43669" y1="60137" x2="45220" y2="90378"/>
                      <a14:backgroundMark x1="83204" y1="82646" x2="83204" y2="82646"/>
                      <a14:backgroundMark x1="42894" y1="60309" x2="49354" y2="60309"/>
                      <a14:backgroundMark x1="44186" y1="60137" x2="48320" y2="60481"/>
                      <a14:backgroundMark x1="44186" y1="58763" x2="44444" y2="61684"/>
                      <a14:backgroundMark x1="44444" y1="58419" x2="45995" y2="60481"/>
                      <a14:backgroundMark x1="42377" y1="58935" x2="47287" y2="5859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8416635" y="4134980"/>
          <a:ext cx="961156" cy="1541318"/>
        </a:xfrm>
        <a:prstGeom prst="rect">
          <a:avLst/>
        </a:prstGeom>
      </xdr:spPr>
    </xdr:pic>
    <xdr:clientData/>
  </xdr:twoCellAnchor>
  <xdr:twoCellAnchor>
    <xdr:from>
      <xdr:col>21</xdr:col>
      <xdr:colOff>125682</xdr:colOff>
      <xdr:row>7</xdr:row>
      <xdr:rowOff>196933</xdr:rowOff>
    </xdr:from>
    <xdr:to>
      <xdr:col>23</xdr:col>
      <xdr:colOff>18091</xdr:colOff>
      <xdr:row>10</xdr:row>
      <xdr:rowOff>33705</xdr:rowOff>
    </xdr:to>
    <xdr:grpSp>
      <xdr:nvGrpSpPr>
        <xdr:cNvPr id="55" name="우경첩1">
          <a:extLst>
            <a:ext uri="{FF2B5EF4-FFF2-40B4-BE49-F238E27FC236}">
              <a16:creationId xmlns:a16="http://schemas.microsoft.com/office/drawing/2014/main" id="{F7D0E2E3-4608-4A79-82E5-64F78DB821F2}"/>
            </a:ext>
          </a:extLst>
        </xdr:cNvPr>
        <xdr:cNvGrpSpPr/>
      </xdr:nvGrpSpPr>
      <xdr:grpSpPr>
        <a:xfrm>
          <a:off x="9106396" y="2619004"/>
          <a:ext cx="368659" cy="734844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56" name="순서도: 처리 55">
            <a:extLst>
              <a:ext uri="{FF2B5EF4-FFF2-40B4-BE49-F238E27FC236}">
                <a16:creationId xmlns:a16="http://schemas.microsoft.com/office/drawing/2014/main" id="{0DDEE5E8-D39C-A721-BFBB-09145E8AE836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7" name="순서도: 처리 56">
            <a:extLst>
              <a:ext uri="{FF2B5EF4-FFF2-40B4-BE49-F238E27FC236}">
                <a16:creationId xmlns:a16="http://schemas.microsoft.com/office/drawing/2014/main" id="{9A17A687-0C4E-B4A8-6FFC-10FED7F13DCB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8" name="순서도: 처리 57">
            <a:extLst>
              <a:ext uri="{FF2B5EF4-FFF2-40B4-BE49-F238E27FC236}">
                <a16:creationId xmlns:a16="http://schemas.microsoft.com/office/drawing/2014/main" id="{2796713D-325C-4E66-FBF4-FB7518AFC15E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9</xdr:col>
      <xdr:colOff>121529</xdr:colOff>
      <xdr:row>12</xdr:row>
      <xdr:rowOff>69271</xdr:rowOff>
    </xdr:from>
    <xdr:to>
      <xdr:col>13</xdr:col>
      <xdr:colOff>78230</xdr:colOff>
      <xdr:row>17</xdr:row>
      <xdr:rowOff>138544</xdr:rowOff>
    </xdr:to>
    <xdr:pic>
      <xdr:nvPicPr>
        <xdr:cNvPr id="680" name="우경첩0전자키(MSD100)" hidden="1">
          <a:extLst>
            <a:ext uri="{FF2B5EF4-FFF2-40B4-BE49-F238E27FC236}">
              <a16:creationId xmlns:a16="http://schemas.microsoft.com/office/drawing/2014/main" id="{81E951BA-B67B-49D4-B8B3-DC600ED19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31" b="90034" l="9561" r="89406">
                      <a14:foregroundMark x1="23514" y1="1031" x2="23514" y2="1031"/>
                      <a14:foregroundMark x1="33075" y1="90034" x2="33075" y2="90034"/>
                      <a14:backgroundMark x1="29199" y1="5670" x2="42119" y2="5326"/>
                      <a14:backgroundMark x1="26873" y1="2234" x2="27132" y2="4124"/>
                      <a14:backgroundMark x1="23514" y1="1375" x2="26098" y2="93299"/>
                      <a14:backgroundMark x1="25840" y1="27835" x2="25581" y2="24055"/>
                      <a14:backgroundMark x1="25840" y1="9794" x2="26615" y2="70103"/>
                      <a14:backgroundMark x1="44186" y1="63746" x2="43669" y2="90550"/>
                      <a14:backgroundMark x1="43669" y1="60137" x2="45220" y2="90378"/>
                      <a14:backgroundMark x1="83204" y1="82646" x2="83204" y2="82646"/>
                      <a14:backgroundMark x1="42894" y1="60309" x2="49354" y2="60309"/>
                      <a14:backgroundMark x1="44186" y1="60137" x2="48320" y2="60481"/>
                      <a14:backgroundMark x1="44186" y1="58763" x2="44444" y2="61684"/>
                      <a14:backgroundMark x1="44444" y1="58419" x2="45995" y2="60481"/>
                      <a14:backgroundMark x1="42377" y1="58935" x2="47287" y2="5859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217529" y="4139044"/>
          <a:ext cx="961156" cy="1541318"/>
        </a:xfrm>
        <a:prstGeom prst="rect">
          <a:avLst/>
        </a:prstGeom>
      </xdr:spPr>
    </xdr:pic>
    <xdr:clientData/>
  </xdr:twoCellAnchor>
  <xdr:twoCellAnchor>
    <xdr:from>
      <xdr:col>43</xdr:col>
      <xdr:colOff>339588</xdr:colOff>
      <xdr:row>13</xdr:row>
      <xdr:rowOff>164091</xdr:rowOff>
    </xdr:from>
    <xdr:to>
      <xdr:col>43</xdr:col>
      <xdr:colOff>679174</xdr:colOff>
      <xdr:row>16</xdr:row>
      <xdr:rowOff>18016</xdr:rowOff>
    </xdr:to>
    <xdr:grpSp>
      <xdr:nvGrpSpPr>
        <xdr:cNvPr id="688" name="좌경첩0레바키" hidden="1">
          <a:extLst>
            <a:ext uri="{FF2B5EF4-FFF2-40B4-BE49-F238E27FC236}">
              <a16:creationId xmlns:a16="http://schemas.microsoft.com/office/drawing/2014/main" id="{3BBD301F-69DB-4CF3-9D5E-BD42E96648A9}"/>
            </a:ext>
          </a:extLst>
        </xdr:cNvPr>
        <xdr:cNvGrpSpPr/>
      </xdr:nvGrpSpPr>
      <xdr:grpSpPr>
        <a:xfrm flipH="1">
          <a:off x="19893643" y="4559198"/>
          <a:ext cx="0" cy="751997"/>
          <a:chOff x="9475304" y="3470413"/>
          <a:chExt cx="339586" cy="737152"/>
        </a:xfrm>
      </xdr:grpSpPr>
      <xdr:grpSp>
        <xdr:nvGrpSpPr>
          <xdr:cNvPr id="689" name="그룹 688" hidden="1">
            <a:extLst>
              <a:ext uri="{FF2B5EF4-FFF2-40B4-BE49-F238E27FC236}">
                <a16:creationId xmlns:a16="http://schemas.microsoft.com/office/drawing/2014/main" id="{A5601957-72A9-BF51-98AC-20D29DCF64E5}"/>
              </a:ext>
            </a:extLst>
          </xdr:cNvPr>
          <xdr:cNvGrpSpPr/>
        </xdr:nvGrpSpPr>
        <xdr:grpSpPr>
          <a:xfrm>
            <a:off x="9475304" y="3470413"/>
            <a:ext cx="339586" cy="737152"/>
            <a:chOff x="10585174" y="3462131"/>
            <a:chExt cx="339586" cy="737152"/>
          </a:xfrm>
        </xdr:grpSpPr>
        <xdr:sp macro="" textlink="">
          <xdr:nvSpPr>
            <xdr:cNvPr id="691" name="사각형: 둥근 위쪽 모서리 690" hidden="1">
              <a:extLst>
                <a:ext uri="{FF2B5EF4-FFF2-40B4-BE49-F238E27FC236}">
                  <a16:creationId xmlns:a16="http://schemas.microsoft.com/office/drawing/2014/main" id="{A1304ECB-A90E-4530-E51B-7A8E67483496}"/>
                </a:ext>
              </a:extLst>
            </xdr:cNvPr>
            <xdr:cNvSpPr/>
          </xdr:nvSpPr>
          <xdr:spPr>
            <a:xfrm>
              <a:off x="10585174" y="3462131"/>
              <a:ext cx="132522" cy="737152"/>
            </a:xfrm>
            <a:prstGeom prst="round2SameRect">
              <a:avLst>
                <a:gd name="adj1" fmla="val 50000"/>
                <a:gd name="adj2" fmla="val 50000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692" name="타원 691" hidden="1">
              <a:extLst>
                <a:ext uri="{FF2B5EF4-FFF2-40B4-BE49-F238E27FC236}">
                  <a16:creationId xmlns:a16="http://schemas.microsoft.com/office/drawing/2014/main" id="{1E428BEA-9B1A-EB97-6B01-2AEDB4CF40BF}"/>
                </a:ext>
              </a:extLst>
            </xdr:cNvPr>
            <xdr:cNvSpPr/>
          </xdr:nvSpPr>
          <xdr:spPr>
            <a:xfrm>
              <a:off x="10612958" y="3929270"/>
              <a:ext cx="75296" cy="91108"/>
            </a:xfrm>
            <a:prstGeom prst="ellipse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693" name="직사각형 692" hidden="1">
              <a:extLst>
                <a:ext uri="{FF2B5EF4-FFF2-40B4-BE49-F238E27FC236}">
                  <a16:creationId xmlns:a16="http://schemas.microsoft.com/office/drawing/2014/main" id="{6DB15360-1B00-012F-F23A-D842A403E779}"/>
                </a:ext>
              </a:extLst>
            </xdr:cNvPr>
            <xdr:cNvSpPr/>
          </xdr:nvSpPr>
          <xdr:spPr>
            <a:xfrm>
              <a:off x="10626587" y="3668865"/>
              <a:ext cx="298173" cy="45719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694" name="직사각형 693" hidden="1">
              <a:extLst>
                <a:ext uri="{FF2B5EF4-FFF2-40B4-BE49-F238E27FC236}">
                  <a16:creationId xmlns:a16="http://schemas.microsoft.com/office/drawing/2014/main" id="{5B1D7F8B-C655-9E59-FB56-4AF9B33B529A}"/>
                </a:ext>
              </a:extLst>
            </xdr:cNvPr>
            <xdr:cNvSpPr/>
          </xdr:nvSpPr>
          <xdr:spPr>
            <a:xfrm rot="5400000">
              <a:off x="10609503" y="4043363"/>
              <a:ext cx="73926" cy="31227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sp macro="" textlink="">
        <xdr:nvSpPr>
          <xdr:cNvPr id="690" name="타원 689" hidden="1">
            <a:extLst>
              <a:ext uri="{FF2B5EF4-FFF2-40B4-BE49-F238E27FC236}">
                <a16:creationId xmlns:a16="http://schemas.microsoft.com/office/drawing/2014/main" id="{3FC396E2-150E-8C81-F785-133BB149027B}"/>
              </a:ext>
            </a:extLst>
          </xdr:cNvPr>
          <xdr:cNvSpPr/>
        </xdr:nvSpPr>
        <xdr:spPr>
          <a:xfrm>
            <a:off x="9500152" y="3644349"/>
            <a:ext cx="91109" cy="91108"/>
          </a:xfrm>
          <a:prstGeom prst="ellipse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44</xdr:col>
      <xdr:colOff>11595</xdr:colOff>
      <xdr:row>13</xdr:row>
      <xdr:rowOff>168908</xdr:rowOff>
    </xdr:from>
    <xdr:to>
      <xdr:col>44</xdr:col>
      <xdr:colOff>351181</xdr:colOff>
      <xdr:row>16</xdr:row>
      <xdr:rowOff>22833</xdr:rowOff>
    </xdr:to>
    <xdr:grpSp>
      <xdr:nvGrpSpPr>
        <xdr:cNvPr id="695" name="우경첩0레바키" hidden="1">
          <a:extLst>
            <a:ext uri="{FF2B5EF4-FFF2-40B4-BE49-F238E27FC236}">
              <a16:creationId xmlns:a16="http://schemas.microsoft.com/office/drawing/2014/main" id="{BBD36920-4A63-46C2-B6DD-41F7F0616FB1}"/>
            </a:ext>
          </a:extLst>
        </xdr:cNvPr>
        <xdr:cNvGrpSpPr/>
      </xdr:nvGrpSpPr>
      <xdr:grpSpPr>
        <a:xfrm>
          <a:off x="19905238" y="4564015"/>
          <a:ext cx="339586" cy="751997"/>
          <a:chOff x="9475304" y="3470413"/>
          <a:chExt cx="339586" cy="737152"/>
        </a:xfrm>
      </xdr:grpSpPr>
      <xdr:grpSp>
        <xdr:nvGrpSpPr>
          <xdr:cNvPr id="696" name="그룹 695" hidden="1">
            <a:extLst>
              <a:ext uri="{FF2B5EF4-FFF2-40B4-BE49-F238E27FC236}">
                <a16:creationId xmlns:a16="http://schemas.microsoft.com/office/drawing/2014/main" id="{7667B03B-BDD7-49D0-B074-50FA735B09B7}"/>
              </a:ext>
            </a:extLst>
          </xdr:cNvPr>
          <xdr:cNvGrpSpPr/>
        </xdr:nvGrpSpPr>
        <xdr:grpSpPr>
          <a:xfrm>
            <a:off x="9475304" y="3470413"/>
            <a:ext cx="339586" cy="737152"/>
            <a:chOff x="10585174" y="3462131"/>
            <a:chExt cx="339586" cy="737152"/>
          </a:xfrm>
        </xdr:grpSpPr>
        <xdr:sp macro="" textlink="">
          <xdr:nvSpPr>
            <xdr:cNvPr id="698" name="사각형: 둥근 위쪽 모서리 697" hidden="1">
              <a:extLst>
                <a:ext uri="{FF2B5EF4-FFF2-40B4-BE49-F238E27FC236}">
                  <a16:creationId xmlns:a16="http://schemas.microsoft.com/office/drawing/2014/main" id="{A0E183CE-4BCA-5D51-E2B2-B5C2B82A239D}"/>
                </a:ext>
              </a:extLst>
            </xdr:cNvPr>
            <xdr:cNvSpPr/>
          </xdr:nvSpPr>
          <xdr:spPr>
            <a:xfrm>
              <a:off x="10585174" y="3462131"/>
              <a:ext cx="132522" cy="737152"/>
            </a:xfrm>
            <a:prstGeom prst="round2SameRect">
              <a:avLst>
                <a:gd name="adj1" fmla="val 50000"/>
                <a:gd name="adj2" fmla="val 50000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699" name="타원 698" hidden="1">
              <a:extLst>
                <a:ext uri="{FF2B5EF4-FFF2-40B4-BE49-F238E27FC236}">
                  <a16:creationId xmlns:a16="http://schemas.microsoft.com/office/drawing/2014/main" id="{6E9D5EF7-0757-B543-6A53-2D249900F6DB}"/>
                </a:ext>
              </a:extLst>
            </xdr:cNvPr>
            <xdr:cNvSpPr/>
          </xdr:nvSpPr>
          <xdr:spPr>
            <a:xfrm>
              <a:off x="10612958" y="3929270"/>
              <a:ext cx="75296" cy="91108"/>
            </a:xfrm>
            <a:prstGeom prst="ellipse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00" name="직사각형 699" hidden="1">
              <a:extLst>
                <a:ext uri="{FF2B5EF4-FFF2-40B4-BE49-F238E27FC236}">
                  <a16:creationId xmlns:a16="http://schemas.microsoft.com/office/drawing/2014/main" id="{153956A7-BB44-4227-5D03-844A6EA30DCB}"/>
                </a:ext>
              </a:extLst>
            </xdr:cNvPr>
            <xdr:cNvSpPr/>
          </xdr:nvSpPr>
          <xdr:spPr>
            <a:xfrm>
              <a:off x="10626587" y="3668865"/>
              <a:ext cx="298173" cy="45719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02" name="직사각형 701" hidden="1">
              <a:extLst>
                <a:ext uri="{FF2B5EF4-FFF2-40B4-BE49-F238E27FC236}">
                  <a16:creationId xmlns:a16="http://schemas.microsoft.com/office/drawing/2014/main" id="{3812F261-F489-2162-E4B5-7EB286DC2BA4}"/>
                </a:ext>
              </a:extLst>
            </xdr:cNvPr>
            <xdr:cNvSpPr/>
          </xdr:nvSpPr>
          <xdr:spPr>
            <a:xfrm rot="5400000">
              <a:off x="10609503" y="4043363"/>
              <a:ext cx="73926" cy="31227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sp macro="" textlink="">
        <xdr:nvSpPr>
          <xdr:cNvPr id="697" name="타원 696" hidden="1">
            <a:extLst>
              <a:ext uri="{FF2B5EF4-FFF2-40B4-BE49-F238E27FC236}">
                <a16:creationId xmlns:a16="http://schemas.microsoft.com/office/drawing/2014/main" id="{D80A6CEE-8339-D546-1242-AA38B771C391}"/>
              </a:ext>
            </a:extLst>
          </xdr:cNvPr>
          <xdr:cNvSpPr/>
        </xdr:nvSpPr>
        <xdr:spPr>
          <a:xfrm>
            <a:off x="9500152" y="3644349"/>
            <a:ext cx="91109" cy="91108"/>
          </a:xfrm>
          <a:prstGeom prst="ellipse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20</xdr:col>
      <xdr:colOff>86590</xdr:colOff>
      <xdr:row>13</xdr:row>
      <xdr:rowOff>34637</xdr:rowOff>
    </xdr:from>
    <xdr:to>
      <xdr:col>21</xdr:col>
      <xdr:colOff>221454</xdr:colOff>
      <xdr:row>16</xdr:row>
      <xdr:rowOff>231410</xdr:rowOff>
    </xdr:to>
    <xdr:grpSp>
      <xdr:nvGrpSpPr>
        <xdr:cNvPr id="32" name="좌경첩레바키" hidden="1">
          <a:extLst>
            <a:ext uri="{FF2B5EF4-FFF2-40B4-BE49-F238E27FC236}">
              <a16:creationId xmlns:a16="http://schemas.microsoft.com/office/drawing/2014/main" id="{C4BE7369-D8B7-4B17-B374-FF802EE202D6}"/>
            </a:ext>
          </a:extLst>
        </xdr:cNvPr>
        <xdr:cNvGrpSpPr/>
      </xdr:nvGrpSpPr>
      <xdr:grpSpPr>
        <a:xfrm flipH="1">
          <a:off x="8835983" y="4429744"/>
          <a:ext cx="366185" cy="1094845"/>
          <a:chOff x="9475304" y="3470413"/>
          <a:chExt cx="339586" cy="737152"/>
        </a:xfrm>
      </xdr:grpSpPr>
      <xdr:grpSp>
        <xdr:nvGrpSpPr>
          <xdr:cNvPr id="34" name="그룹 33" hidden="1">
            <a:extLst>
              <a:ext uri="{FF2B5EF4-FFF2-40B4-BE49-F238E27FC236}">
                <a16:creationId xmlns:a16="http://schemas.microsoft.com/office/drawing/2014/main" id="{417FD78D-24E9-E4D2-C2E8-BAB61F391CCC}"/>
              </a:ext>
            </a:extLst>
          </xdr:cNvPr>
          <xdr:cNvGrpSpPr/>
        </xdr:nvGrpSpPr>
        <xdr:grpSpPr>
          <a:xfrm>
            <a:off x="9475304" y="3470413"/>
            <a:ext cx="339586" cy="737152"/>
            <a:chOff x="10585174" y="3462131"/>
            <a:chExt cx="339586" cy="737152"/>
          </a:xfrm>
        </xdr:grpSpPr>
        <xdr:sp macro="" textlink="">
          <xdr:nvSpPr>
            <xdr:cNvPr id="36" name="사각형: 둥근 위쪽 모서리 35" hidden="1">
              <a:extLst>
                <a:ext uri="{FF2B5EF4-FFF2-40B4-BE49-F238E27FC236}">
                  <a16:creationId xmlns:a16="http://schemas.microsoft.com/office/drawing/2014/main" id="{33F12451-989F-5811-E3D5-01E1905EB347}"/>
                </a:ext>
              </a:extLst>
            </xdr:cNvPr>
            <xdr:cNvSpPr/>
          </xdr:nvSpPr>
          <xdr:spPr>
            <a:xfrm>
              <a:off x="10585174" y="3462131"/>
              <a:ext cx="132522" cy="737152"/>
            </a:xfrm>
            <a:prstGeom prst="round2SameRect">
              <a:avLst>
                <a:gd name="adj1" fmla="val 50000"/>
                <a:gd name="adj2" fmla="val 50000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37" name="타원 36" hidden="1">
              <a:extLst>
                <a:ext uri="{FF2B5EF4-FFF2-40B4-BE49-F238E27FC236}">
                  <a16:creationId xmlns:a16="http://schemas.microsoft.com/office/drawing/2014/main" id="{948583AF-DB24-287A-5C52-E5C8C36E7814}"/>
                </a:ext>
              </a:extLst>
            </xdr:cNvPr>
            <xdr:cNvSpPr/>
          </xdr:nvSpPr>
          <xdr:spPr>
            <a:xfrm>
              <a:off x="10612958" y="3929270"/>
              <a:ext cx="75296" cy="91108"/>
            </a:xfrm>
            <a:prstGeom prst="ellipse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51" name="직사각형 50" hidden="1">
              <a:extLst>
                <a:ext uri="{FF2B5EF4-FFF2-40B4-BE49-F238E27FC236}">
                  <a16:creationId xmlns:a16="http://schemas.microsoft.com/office/drawing/2014/main" id="{CCE1504B-2AEE-EB33-398D-A52682E8E27B}"/>
                </a:ext>
              </a:extLst>
            </xdr:cNvPr>
            <xdr:cNvSpPr/>
          </xdr:nvSpPr>
          <xdr:spPr>
            <a:xfrm>
              <a:off x="10626587" y="3668865"/>
              <a:ext cx="298173" cy="45719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52" name="직사각형 51" hidden="1">
              <a:extLst>
                <a:ext uri="{FF2B5EF4-FFF2-40B4-BE49-F238E27FC236}">
                  <a16:creationId xmlns:a16="http://schemas.microsoft.com/office/drawing/2014/main" id="{CD987310-E584-5FE8-9695-2341193BD927}"/>
                </a:ext>
              </a:extLst>
            </xdr:cNvPr>
            <xdr:cNvSpPr/>
          </xdr:nvSpPr>
          <xdr:spPr>
            <a:xfrm rot="5400000">
              <a:off x="10609503" y="4043363"/>
              <a:ext cx="73926" cy="31227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sp macro="" textlink="">
        <xdr:nvSpPr>
          <xdr:cNvPr id="35" name="타원 34" hidden="1">
            <a:extLst>
              <a:ext uri="{FF2B5EF4-FFF2-40B4-BE49-F238E27FC236}">
                <a16:creationId xmlns:a16="http://schemas.microsoft.com/office/drawing/2014/main" id="{B4A0C6C2-AA17-C851-7ACF-095040F218C6}"/>
              </a:ext>
            </a:extLst>
          </xdr:cNvPr>
          <xdr:cNvSpPr/>
        </xdr:nvSpPr>
        <xdr:spPr>
          <a:xfrm>
            <a:off x="9500152" y="3644349"/>
            <a:ext cx="91109" cy="91108"/>
          </a:xfrm>
          <a:prstGeom prst="ellipse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183423</xdr:colOff>
      <xdr:row>13</xdr:row>
      <xdr:rowOff>77471</xdr:rowOff>
    </xdr:from>
    <xdr:to>
      <xdr:col>12</xdr:col>
      <xdr:colOff>93150</xdr:colOff>
      <xdr:row>16</xdr:row>
      <xdr:rowOff>274244</xdr:rowOff>
    </xdr:to>
    <xdr:grpSp>
      <xdr:nvGrpSpPr>
        <xdr:cNvPr id="53" name="우경첩레바키">
          <a:extLst>
            <a:ext uri="{FF2B5EF4-FFF2-40B4-BE49-F238E27FC236}">
              <a16:creationId xmlns:a16="http://schemas.microsoft.com/office/drawing/2014/main" id="{FD5CF04C-B87C-417A-BA7D-881827B36822}"/>
            </a:ext>
          </a:extLst>
        </xdr:cNvPr>
        <xdr:cNvGrpSpPr/>
      </xdr:nvGrpSpPr>
      <xdr:grpSpPr>
        <a:xfrm>
          <a:off x="6537959" y="4472578"/>
          <a:ext cx="372370" cy="1094845"/>
          <a:chOff x="9475304" y="3470413"/>
          <a:chExt cx="339586" cy="737152"/>
        </a:xfrm>
      </xdr:grpSpPr>
      <xdr:grpSp>
        <xdr:nvGrpSpPr>
          <xdr:cNvPr id="54" name="그룹 53">
            <a:extLst>
              <a:ext uri="{FF2B5EF4-FFF2-40B4-BE49-F238E27FC236}">
                <a16:creationId xmlns:a16="http://schemas.microsoft.com/office/drawing/2014/main" id="{F0EC9777-6AF7-CB4A-5F43-E99648248C68}"/>
              </a:ext>
            </a:extLst>
          </xdr:cNvPr>
          <xdr:cNvGrpSpPr/>
        </xdr:nvGrpSpPr>
        <xdr:grpSpPr>
          <a:xfrm>
            <a:off x="9475304" y="3470413"/>
            <a:ext cx="339586" cy="737152"/>
            <a:chOff x="10585174" y="3462131"/>
            <a:chExt cx="339586" cy="737152"/>
          </a:xfrm>
        </xdr:grpSpPr>
        <xdr:sp macro="" textlink="">
          <xdr:nvSpPr>
            <xdr:cNvPr id="704" name="사각형: 둥근 위쪽 모서리 703">
              <a:extLst>
                <a:ext uri="{FF2B5EF4-FFF2-40B4-BE49-F238E27FC236}">
                  <a16:creationId xmlns:a16="http://schemas.microsoft.com/office/drawing/2014/main" id="{AD607757-185C-6CE5-2B40-29553D761E44}"/>
                </a:ext>
              </a:extLst>
            </xdr:cNvPr>
            <xdr:cNvSpPr/>
          </xdr:nvSpPr>
          <xdr:spPr>
            <a:xfrm>
              <a:off x="10585174" y="3462131"/>
              <a:ext cx="132522" cy="737152"/>
            </a:xfrm>
            <a:prstGeom prst="round2SameRect">
              <a:avLst>
                <a:gd name="adj1" fmla="val 50000"/>
                <a:gd name="adj2" fmla="val 50000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05" name="타원 704">
              <a:extLst>
                <a:ext uri="{FF2B5EF4-FFF2-40B4-BE49-F238E27FC236}">
                  <a16:creationId xmlns:a16="http://schemas.microsoft.com/office/drawing/2014/main" id="{9D4770B2-EB68-3051-E548-9EF687687E95}"/>
                </a:ext>
              </a:extLst>
            </xdr:cNvPr>
            <xdr:cNvSpPr/>
          </xdr:nvSpPr>
          <xdr:spPr>
            <a:xfrm>
              <a:off x="10612958" y="3929270"/>
              <a:ext cx="75296" cy="91108"/>
            </a:xfrm>
            <a:prstGeom prst="ellipse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06" name="직사각형 705">
              <a:extLst>
                <a:ext uri="{FF2B5EF4-FFF2-40B4-BE49-F238E27FC236}">
                  <a16:creationId xmlns:a16="http://schemas.microsoft.com/office/drawing/2014/main" id="{4A6B4CB9-682C-6316-824A-480CA9EBA219}"/>
                </a:ext>
              </a:extLst>
            </xdr:cNvPr>
            <xdr:cNvSpPr/>
          </xdr:nvSpPr>
          <xdr:spPr>
            <a:xfrm>
              <a:off x="10626587" y="3668865"/>
              <a:ext cx="298173" cy="45719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11" name="직사각형 710">
              <a:extLst>
                <a:ext uri="{FF2B5EF4-FFF2-40B4-BE49-F238E27FC236}">
                  <a16:creationId xmlns:a16="http://schemas.microsoft.com/office/drawing/2014/main" id="{B25FB927-396B-43E8-A641-75C1EE2556C8}"/>
                </a:ext>
              </a:extLst>
            </xdr:cNvPr>
            <xdr:cNvSpPr/>
          </xdr:nvSpPr>
          <xdr:spPr>
            <a:xfrm rot="5400000">
              <a:off x="10609503" y="4043363"/>
              <a:ext cx="73926" cy="31227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sp macro="" textlink="">
        <xdr:nvSpPr>
          <xdr:cNvPr id="63" name="타원 62">
            <a:extLst>
              <a:ext uri="{FF2B5EF4-FFF2-40B4-BE49-F238E27FC236}">
                <a16:creationId xmlns:a16="http://schemas.microsoft.com/office/drawing/2014/main" id="{044F3B82-FDC6-6750-CD7D-B21590992913}"/>
              </a:ext>
            </a:extLst>
          </xdr:cNvPr>
          <xdr:cNvSpPr/>
        </xdr:nvSpPr>
        <xdr:spPr>
          <a:xfrm>
            <a:off x="9500152" y="3644349"/>
            <a:ext cx="91109" cy="91108"/>
          </a:xfrm>
          <a:prstGeom prst="ellipse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 editAs="oneCell">
    <xdr:from>
      <xdr:col>10</xdr:col>
      <xdr:colOff>62549</xdr:colOff>
      <xdr:row>13</xdr:row>
      <xdr:rowOff>34637</xdr:rowOff>
    </xdr:from>
    <xdr:to>
      <xdr:col>13</xdr:col>
      <xdr:colOff>3230</xdr:colOff>
      <xdr:row>17</xdr:row>
      <xdr:rowOff>71570</xdr:rowOff>
    </xdr:to>
    <xdr:pic>
      <xdr:nvPicPr>
        <xdr:cNvPr id="712" name="우경첩전자키(MSD100)" hidden="1">
          <a:extLst>
            <a:ext uri="{FF2B5EF4-FFF2-40B4-BE49-F238E27FC236}">
              <a16:creationId xmlns:a16="http://schemas.microsoft.com/office/drawing/2014/main" id="{1AB3E9EE-E712-432A-A2E2-F35003F85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383685" y="4398819"/>
          <a:ext cx="720000" cy="1214569"/>
        </a:xfrm>
        <a:prstGeom prst="rect">
          <a:avLst/>
        </a:prstGeom>
      </xdr:spPr>
    </xdr:pic>
    <xdr:clientData/>
  </xdr:twoCellAnchor>
  <xdr:twoCellAnchor editAs="oneCell">
    <xdr:from>
      <xdr:col>15</xdr:col>
      <xdr:colOff>201095</xdr:colOff>
      <xdr:row>12</xdr:row>
      <xdr:rowOff>121225</xdr:rowOff>
    </xdr:from>
    <xdr:to>
      <xdr:col>18</xdr:col>
      <xdr:colOff>150385</xdr:colOff>
      <xdr:row>16</xdr:row>
      <xdr:rowOff>246789</xdr:rowOff>
    </xdr:to>
    <xdr:pic>
      <xdr:nvPicPr>
        <xdr:cNvPr id="714" name="양개우전자키(MSD100)" hidden="1">
          <a:extLst>
            <a:ext uri="{FF2B5EF4-FFF2-40B4-BE49-F238E27FC236}">
              <a16:creationId xmlns:a16="http://schemas.microsoft.com/office/drawing/2014/main" id="{00731951-120F-4BB2-9370-84E50A354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751822" y="4190998"/>
          <a:ext cx="607381" cy="1303200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12</xdr:row>
      <xdr:rowOff>116463</xdr:rowOff>
    </xdr:from>
    <xdr:to>
      <xdr:col>16</xdr:col>
      <xdr:colOff>157307</xdr:colOff>
      <xdr:row>16</xdr:row>
      <xdr:rowOff>242453</xdr:rowOff>
    </xdr:to>
    <xdr:pic>
      <xdr:nvPicPr>
        <xdr:cNvPr id="715" name="양개좌전자키(MSD100)" hidden="1">
          <a:extLst>
            <a:ext uri="{FF2B5EF4-FFF2-40B4-BE49-F238E27FC236}">
              <a16:creationId xmlns:a16="http://schemas.microsoft.com/office/drawing/2014/main" id="{DC71F27F-E886-4B53-9F5E-5715AB16A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7325592" y="4186236"/>
          <a:ext cx="607579" cy="1303626"/>
        </a:xfrm>
        <a:prstGeom prst="rect">
          <a:avLst/>
        </a:prstGeom>
      </xdr:spPr>
    </xdr:pic>
    <xdr:clientData/>
  </xdr:twoCellAnchor>
  <xdr:twoCellAnchor>
    <xdr:from>
      <xdr:col>14</xdr:col>
      <xdr:colOff>138545</xdr:colOff>
      <xdr:row>13</xdr:row>
      <xdr:rowOff>174475</xdr:rowOff>
    </xdr:from>
    <xdr:to>
      <xdr:col>16</xdr:col>
      <xdr:colOff>27858</xdr:colOff>
      <xdr:row>16</xdr:row>
      <xdr:rowOff>234448</xdr:rowOff>
    </xdr:to>
    <xdr:grpSp>
      <xdr:nvGrpSpPr>
        <xdr:cNvPr id="716" name="양개좌레바키" hidden="1">
          <a:extLst>
            <a:ext uri="{FF2B5EF4-FFF2-40B4-BE49-F238E27FC236}">
              <a16:creationId xmlns:a16="http://schemas.microsoft.com/office/drawing/2014/main" id="{02640C75-6F14-422F-BE0E-20549BEA75E0}"/>
            </a:ext>
          </a:extLst>
        </xdr:cNvPr>
        <xdr:cNvGrpSpPr/>
      </xdr:nvGrpSpPr>
      <xdr:grpSpPr>
        <a:xfrm flipH="1">
          <a:off x="7527224" y="4569582"/>
          <a:ext cx="351955" cy="958045"/>
          <a:chOff x="9475304" y="3470413"/>
          <a:chExt cx="339586" cy="737152"/>
        </a:xfrm>
      </xdr:grpSpPr>
      <xdr:grpSp>
        <xdr:nvGrpSpPr>
          <xdr:cNvPr id="717" name="그룹 716" hidden="1">
            <a:extLst>
              <a:ext uri="{FF2B5EF4-FFF2-40B4-BE49-F238E27FC236}">
                <a16:creationId xmlns:a16="http://schemas.microsoft.com/office/drawing/2014/main" id="{622F414F-103F-5B0F-9298-F1A086BC4A9B}"/>
              </a:ext>
            </a:extLst>
          </xdr:cNvPr>
          <xdr:cNvGrpSpPr/>
        </xdr:nvGrpSpPr>
        <xdr:grpSpPr>
          <a:xfrm>
            <a:off x="9475304" y="3470413"/>
            <a:ext cx="339586" cy="737152"/>
            <a:chOff x="10585174" y="3462131"/>
            <a:chExt cx="339586" cy="737152"/>
          </a:xfrm>
        </xdr:grpSpPr>
        <xdr:sp macro="" textlink="">
          <xdr:nvSpPr>
            <xdr:cNvPr id="719" name="사각형: 둥근 위쪽 모서리 718" hidden="1">
              <a:extLst>
                <a:ext uri="{FF2B5EF4-FFF2-40B4-BE49-F238E27FC236}">
                  <a16:creationId xmlns:a16="http://schemas.microsoft.com/office/drawing/2014/main" id="{6ACB532C-8B13-8949-4EDE-BAF8A036C5F7}"/>
                </a:ext>
              </a:extLst>
            </xdr:cNvPr>
            <xdr:cNvSpPr/>
          </xdr:nvSpPr>
          <xdr:spPr>
            <a:xfrm>
              <a:off x="10585174" y="3462131"/>
              <a:ext cx="132522" cy="737152"/>
            </a:xfrm>
            <a:prstGeom prst="round2SameRect">
              <a:avLst>
                <a:gd name="adj1" fmla="val 50000"/>
                <a:gd name="adj2" fmla="val 50000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20" name="타원 719" hidden="1">
              <a:extLst>
                <a:ext uri="{FF2B5EF4-FFF2-40B4-BE49-F238E27FC236}">
                  <a16:creationId xmlns:a16="http://schemas.microsoft.com/office/drawing/2014/main" id="{AE9647A8-2C57-FF7A-4221-B6D67080FA5A}"/>
                </a:ext>
              </a:extLst>
            </xdr:cNvPr>
            <xdr:cNvSpPr/>
          </xdr:nvSpPr>
          <xdr:spPr>
            <a:xfrm>
              <a:off x="10612958" y="3929270"/>
              <a:ext cx="75296" cy="91108"/>
            </a:xfrm>
            <a:prstGeom prst="ellipse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21" name="직사각형 720" hidden="1">
              <a:extLst>
                <a:ext uri="{FF2B5EF4-FFF2-40B4-BE49-F238E27FC236}">
                  <a16:creationId xmlns:a16="http://schemas.microsoft.com/office/drawing/2014/main" id="{4773655A-2F41-5D25-7AD5-B8A1DB727ADB}"/>
                </a:ext>
              </a:extLst>
            </xdr:cNvPr>
            <xdr:cNvSpPr/>
          </xdr:nvSpPr>
          <xdr:spPr>
            <a:xfrm>
              <a:off x="10626587" y="3668865"/>
              <a:ext cx="298173" cy="45719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22" name="직사각형 721" hidden="1">
              <a:extLst>
                <a:ext uri="{FF2B5EF4-FFF2-40B4-BE49-F238E27FC236}">
                  <a16:creationId xmlns:a16="http://schemas.microsoft.com/office/drawing/2014/main" id="{68C8A700-E55B-355C-01AD-75AD5F43A640}"/>
                </a:ext>
              </a:extLst>
            </xdr:cNvPr>
            <xdr:cNvSpPr/>
          </xdr:nvSpPr>
          <xdr:spPr>
            <a:xfrm rot="5400000">
              <a:off x="10609503" y="4043363"/>
              <a:ext cx="73926" cy="31227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sp macro="" textlink="">
        <xdr:nvSpPr>
          <xdr:cNvPr id="718" name="타원 717" hidden="1">
            <a:extLst>
              <a:ext uri="{FF2B5EF4-FFF2-40B4-BE49-F238E27FC236}">
                <a16:creationId xmlns:a16="http://schemas.microsoft.com/office/drawing/2014/main" id="{2F1C73B8-70C9-C9DA-4837-3CF4C9C1ED27}"/>
              </a:ext>
            </a:extLst>
          </xdr:cNvPr>
          <xdr:cNvSpPr/>
        </xdr:nvSpPr>
        <xdr:spPr>
          <a:xfrm>
            <a:off x="9500152" y="3644349"/>
            <a:ext cx="91109" cy="91108"/>
          </a:xfrm>
          <a:prstGeom prst="ellipse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16</xdr:col>
      <xdr:colOff>88661</xdr:colOff>
      <xdr:row>13</xdr:row>
      <xdr:rowOff>155863</xdr:rowOff>
    </xdr:from>
    <xdr:to>
      <xdr:col>17</xdr:col>
      <xdr:colOff>220429</xdr:colOff>
      <xdr:row>16</xdr:row>
      <xdr:rowOff>215836</xdr:rowOff>
    </xdr:to>
    <xdr:grpSp>
      <xdr:nvGrpSpPr>
        <xdr:cNvPr id="723" name="양개우레바키" hidden="1">
          <a:extLst>
            <a:ext uri="{FF2B5EF4-FFF2-40B4-BE49-F238E27FC236}">
              <a16:creationId xmlns:a16="http://schemas.microsoft.com/office/drawing/2014/main" id="{D0CDA903-5086-4441-A153-C6DDE5B912DC}"/>
            </a:ext>
          </a:extLst>
        </xdr:cNvPr>
        <xdr:cNvGrpSpPr/>
      </xdr:nvGrpSpPr>
      <xdr:grpSpPr>
        <a:xfrm>
          <a:off x="7939982" y="4550970"/>
          <a:ext cx="335876" cy="958045"/>
          <a:chOff x="9475304" y="3470413"/>
          <a:chExt cx="339586" cy="737152"/>
        </a:xfrm>
      </xdr:grpSpPr>
      <xdr:grpSp>
        <xdr:nvGrpSpPr>
          <xdr:cNvPr id="724" name="그룹 723" hidden="1">
            <a:extLst>
              <a:ext uri="{FF2B5EF4-FFF2-40B4-BE49-F238E27FC236}">
                <a16:creationId xmlns:a16="http://schemas.microsoft.com/office/drawing/2014/main" id="{0EA5AEFA-2D2C-E45B-7193-FBBC006450E7}"/>
              </a:ext>
            </a:extLst>
          </xdr:cNvPr>
          <xdr:cNvGrpSpPr/>
        </xdr:nvGrpSpPr>
        <xdr:grpSpPr>
          <a:xfrm>
            <a:off x="9475304" y="3470413"/>
            <a:ext cx="339586" cy="737152"/>
            <a:chOff x="10585174" y="3462131"/>
            <a:chExt cx="339586" cy="737152"/>
          </a:xfrm>
        </xdr:grpSpPr>
        <xdr:sp macro="" textlink="">
          <xdr:nvSpPr>
            <xdr:cNvPr id="734" name="사각형: 둥근 위쪽 모서리 733" hidden="1">
              <a:extLst>
                <a:ext uri="{FF2B5EF4-FFF2-40B4-BE49-F238E27FC236}">
                  <a16:creationId xmlns:a16="http://schemas.microsoft.com/office/drawing/2014/main" id="{03E4F4DE-2D8C-6014-D9EF-26BD8041D3AA}"/>
                </a:ext>
              </a:extLst>
            </xdr:cNvPr>
            <xdr:cNvSpPr/>
          </xdr:nvSpPr>
          <xdr:spPr>
            <a:xfrm>
              <a:off x="10585174" y="3462131"/>
              <a:ext cx="132522" cy="737152"/>
            </a:xfrm>
            <a:prstGeom prst="round2SameRect">
              <a:avLst>
                <a:gd name="adj1" fmla="val 50000"/>
                <a:gd name="adj2" fmla="val 50000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35" name="타원 734" hidden="1">
              <a:extLst>
                <a:ext uri="{FF2B5EF4-FFF2-40B4-BE49-F238E27FC236}">
                  <a16:creationId xmlns:a16="http://schemas.microsoft.com/office/drawing/2014/main" id="{87647447-886F-BE10-0FDB-4B68188E06A4}"/>
                </a:ext>
              </a:extLst>
            </xdr:cNvPr>
            <xdr:cNvSpPr/>
          </xdr:nvSpPr>
          <xdr:spPr>
            <a:xfrm>
              <a:off x="10612958" y="3929270"/>
              <a:ext cx="75296" cy="91108"/>
            </a:xfrm>
            <a:prstGeom prst="ellipse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36" name="직사각형 735" hidden="1">
              <a:extLst>
                <a:ext uri="{FF2B5EF4-FFF2-40B4-BE49-F238E27FC236}">
                  <a16:creationId xmlns:a16="http://schemas.microsoft.com/office/drawing/2014/main" id="{B0CDD472-1F1C-8DEF-11FD-C40503C42416}"/>
                </a:ext>
              </a:extLst>
            </xdr:cNvPr>
            <xdr:cNvSpPr/>
          </xdr:nvSpPr>
          <xdr:spPr>
            <a:xfrm>
              <a:off x="10626587" y="3668865"/>
              <a:ext cx="298173" cy="45719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37" name="직사각형 736" hidden="1">
              <a:extLst>
                <a:ext uri="{FF2B5EF4-FFF2-40B4-BE49-F238E27FC236}">
                  <a16:creationId xmlns:a16="http://schemas.microsoft.com/office/drawing/2014/main" id="{52672CB7-1955-9B71-1A52-79D458A21C45}"/>
                </a:ext>
              </a:extLst>
            </xdr:cNvPr>
            <xdr:cNvSpPr/>
          </xdr:nvSpPr>
          <xdr:spPr>
            <a:xfrm rot="5400000">
              <a:off x="10609503" y="4043363"/>
              <a:ext cx="73926" cy="31227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sp macro="" textlink="">
        <xdr:nvSpPr>
          <xdr:cNvPr id="733" name="타원 732" hidden="1">
            <a:extLst>
              <a:ext uri="{FF2B5EF4-FFF2-40B4-BE49-F238E27FC236}">
                <a16:creationId xmlns:a16="http://schemas.microsoft.com/office/drawing/2014/main" id="{534BA079-85D9-86AA-80D9-8779282D9F94}"/>
              </a:ext>
            </a:extLst>
          </xdr:cNvPr>
          <xdr:cNvSpPr/>
        </xdr:nvSpPr>
        <xdr:spPr>
          <a:xfrm>
            <a:off x="9500152" y="3644349"/>
            <a:ext cx="91109" cy="91108"/>
          </a:xfrm>
          <a:prstGeom prst="ellipse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 editAs="oneCell">
    <xdr:from>
      <xdr:col>18</xdr:col>
      <xdr:colOff>217714</xdr:colOff>
      <xdr:row>12</xdr:row>
      <xdr:rowOff>136071</xdr:rowOff>
    </xdr:from>
    <xdr:to>
      <xdr:col>23</xdr:col>
      <xdr:colOff>135481</xdr:colOff>
      <xdr:row>17</xdr:row>
      <xdr:rowOff>150396</xdr:rowOff>
    </xdr:to>
    <xdr:pic>
      <xdr:nvPicPr>
        <xdr:cNvPr id="738" name="좌경첩전자키(MSD400)" hidden="1">
          <a:extLst>
            <a:ext uri="{FF2B5EF4-FFF2-40B4-BE49-F238E27FC236}">
              <a16:creationId xmlns:a16="http://schemas.microsoft.com/office/drawing/2014/main" id="{7DA488D2-8876-4553-B81C-06760601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7517" b="89860" l="9903" r="89855">
                      <a14:foregroundMark x1="39372" y1="7517" x2="45652" y2="8566"/>
                      <a14:backgroundMark x1="34058" y1="15734" x2="20290" y2="48427"/>
                      <a14:backgroundMark x1="20290" y1="48427" x2="32126" y2="66958"/>
                      <a14:backgroundMark x1="33816" y1="43706" x2="34058" y2="51748"/>
                      <a14:backgroundMark x1="62077" y1="6818" x2="58937" y2="37238"/>
                      <a14:backgroundMark x1="49275" y1="14161" x2="49758" y2="15210"/>
                      <a14:backgroundMark x1="49034" y1="19056" x2="49275" y2="46678"/>
                      <a14:backgroundMark x1="50966" y1="12937" x2="52174" y2="17483"/>
                      <a14:backgroundMark x1="29952" y1="14161" x2="31159" y2="26399"/>
                      <a14:backgroundMark x1="50725" y1="30769" x2="56280" y2="40385"/>
                      <a14:backgroundMark x1="31643" y1="48951" x2="27295" y2="68881"/>
                      <a14:backgroundMark x1="62560" y1="78497" x2="61836" y2="98077"/>
                      <a14:backgroundMark x1="19082" y1="90909" x2="75845" y2="90909"/>
                      <a14:backgroundMark x1="1449" y1="95629" x2="4106" y2="98601"/>
                      <a14:backgroundMark x1="50483" y1="66434" x2="50483" y2="70979"/>
                      <a14:backgroundMark x1="49034" y1="59266" x2="51691" y2="63462"/>
                      <a14:backgroundMark x1="49034" y1="56993" x2="51449" y2="56993"/>
                      <a14:backgroundMark x1="50000" y1="55944" x2="53140" y2="56469"/>
                      <a14:backgroundMark x1="49758" y1="55245" x2="52899" y2="55245"/>
                      <a14:backgroundMark x1="50483" y1="71678" x2="51449" y2="8671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8504464" y="4231821"/>
          <a:ext cx="1087981" cy="1511111"/>
        </a:xfrm>
        <a:prstGeom prst="rect">
          <a:avLst/>
        </a:prstGeom>
      </xdr:spPr>
    </xdr:pic>
    <xdr:clientData/>
  </xdr:twoCellAnchor>
  <xdr:twoCellAnchor editAs="oneCell">
    <xdr:from>
      <xdr:col>9</xdr:col>
      <xdr:colOff>27215</xdr:colOff>
      <xdr:row>12</xdr:row>
      <xdr:rowOff>136072</xdr:rowOff>
    </xdr:from>
    <xdr:to>
      <xdr:col>13</xdr:col>
      <xdr:colOff>106384</xdr:colOff>
      <xdr:row>17</xdr:row>
      <xdr:rowOff>156161</xdr:rowOff>
    </xdr:to>
    <xdr:pic>
      <xdr:nvPicPr>
        <xdr:cNvPr id="739" name="우경첩전자키(MSD400)" hidden="1">
          <a:extLst>
            <a:ext uri="{FF2B5EF4-FFF2-40B4-BE49-F238E27FC236}">
              <a16:creationId xmlns:a16="http://schemas.microsoft.com/office/drawing/2014/main" id="{7D4E1B21-D389-4BC3-A35F-ACD99D658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7517" b="89860" l="9903" r="89855">
                      <a14:foregroundMark x1="39372" y1="7517" x2="45652" y2="8566"/>
                      <a14:backgroundMark x1="34058" y1="15734" x2="20290" y2="48427"/>
                      <a14:backgroundMark x1="20290" y1="48427" x2="32126" y2="66958"/>
                      <a14:backgroundMark x1="33816" y1="43706" x2="34058" y2="51748"/>
                      <a14:backgroundMark x1="62077" y1="6818" x2="58937" y2="37238"/>
                      <a14:backgroundMark x1="49275" y1="14161" x2="49758" y2="15210"/>
                      <a14:backgroundMark x1="49034" y1="19056" x2="49275" y2="46678"/>
                      <a14:backgroundMark x1="50966" y1="12937" x2="52174" y2="17483"/>
                      <a14:backgroundMark x1="29952" y1="14161" x2="31159" y2="26399"/>
                      <a14:backgroundMark x1="50725" y1="30769" x2="56280" y2="40385"/>
                      <a14:backgroundMark x1="31643" y1="48951" x2="27295" y2="68881"/>
                      <a14:backgroundMark x1="62560" y1="78497" x2="61836" y2="98077"/>
                      <a14:backgroundMark x1="19082" y1="90909" x2="75845" y2="90909"/>
                      <a14:backgroundMark x1="1449" y1="95629" x2="4106" y2="98601"/>
                      <a14:backgroundMark x1="50483" y1="66434" x2="50483" y2="70979"/>
                      <a14:backgroundMark x1="49034" y1="59266" x2="51691" y2="63462"/>
                      <a14:backgroundMark x1="49034" y1="56993" x2="51449" y2="56993"/>
                      <a14:backgroundMark x1="50000" y1="55944" x2="53140" y2="56469"/>
                      <a14:backgroundMark x1="49758" y1="55245" x2="52899" y2="55245"/>
                      <a14:backgroundMark x1="50483" y1="71678" x2="51449" y2="8671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150429" y="4231822"/>
          <a:ext cx="1113312" cy="1516875"/>
        </a:xfrm>
        <a:prstGeom prst="rect">
          <a:avLst/>
        </a:prstGeom>
      </xdr:spPr>
    </xdr:pic>
    <xdr:clientData/>
  </xdr:twoCellAnchor>
  <xdr:twoCellAnchor editAs="oneCell">
    <xdr:from>
      <xdr:col>14</xdr:col>
      <xdr:colOff>149678</xdr:colOff>
      <xdr:row>12</xdr:row>
      <xdr:rowOff>95250</xdr:rowOff>
    </xdr:from>
    <xdr:to>
      <xdr:col>19</xdr:col>
      <xdr:colOff>101424</xdr:colOff>
      <xdr:row>17</xdr:row>
      <xdr:rowOff>96523</xdr:rowOff>
    </xdr:to>
    <xdr:pic>
      <xdr:nvPicPr>
        <xdr:cNvPr id="740" name="양개우전자키(MSD400)" hidden="1">
          <a:extLst>
            <a:ext uri="{FF2B5EF4-FFF2-40B4-BE49-F238E27FC236}">
              <a16:creationId xmlns:a16="http://schemas.microsoft.com/office/drawing/2014/main" id="{0DBA2481-E31C-4930-86F6-2C161A5FA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7517" b="89860" l="9903" r="89855">
                      <a14:foregroundMark x1="39372" y1="7517" x2="45652" y2="8566"/>
                      <a14:backgroundMark x1="34058" y1="15734" x2="20290" y2="48427"/>
                      <a14:backgroundMark x1="20290" y1="48427" x2="32126" y2="66958"/>
                      <a14:backgroundMark x1="33816" y1="43706" x2="34058" y2="51748"/>
                      <a14:backgroundMark x1="62077" y1="6818" x2="58937" y2="37238"/>
                      <a14:backgroundMark x1="49275" y1="14161" x2="49758" y2="15210"/>
                      <a14:backgroundMark x1="49034" y1="19056" x2="49275" y2="46678"/>
                      <a14:backgroundMark x1="50966" y1="12937" x2="52174" y2="17483"/>
                      <a14:backgroundMark x1="29952" y1="14161" x2="31159" y2="26399"/>
                      <a14:backgroundMark x1="50725" y1="30769" x2="56280" y2="40385"/>
                      <a14:backgroundMark x1="31643" y1="48951" x2="27295" y2="68881"/>
                      <a14:backgroundMark x1="62560" y1="78497" x2="61836" y2="98077"/>
                      <a14:backgroundMark x1="19082" y1="90909" x2="75845" y2="90909"/>
                      <a14:backgroundMark x1="1449" y1="95629" x2="4106" y2="98601"/>
                      <a14:backgroundMark x1="50483" y1="66434" x2="50483" y2="70979"/>
                      <a14:backgroundMark x1="49034" y1="59266" x2="51691" y2="63462"/>
                      <a14:backgroundMark x1="49034" y1="56993" x2="51449" y2="56993"/>
                      <a14:backgroundMark x1="50000" y1="55944" x2="53140" y2="56469"/>
                      <a14:backgroundMark x1="49758" y1="55245" x2="52899" y2="55245"/>
                      <a14:backgroundMark x1="50483" y1="71678" x2="51449" y2="8671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538357" y="4191000"/>
          <a:ext cx="1081138" cy="1498059"/>
        </a:xfrm>
        <a:prstGeom prst="rect">
          <a:avLst/>
        </a:prstGeom>
      </xdr:spPr>
    </xdr:pic>
    <xdr:clientData/>
  </xdr:twoCellAnchor>
  <xdr:twoCellAnchor editAs="oneCell">
    <xdr:from>
      <xdr:col>13</xdr:col>
      <xdr:colOff>1</xdr:colOff>
      <xdr:row>12</xdr:row>
      <xdr:rowOff>149678</xdr:rowOff>
    </xdr:from>
    <xdr:to>
      <xdr:col>17</xdr:col>
      <xdr:colOff>178118</xdr:colOff>
      <xdr:row>17</xdr:row>
      <xdr:rowOff>150951</xdr:rowOff>
    </xdr:to>
    <xdr:pic>
      <xdr:nvPicPr>
        <xdr:cNvPr id="749" name="양개좌전자키(MSD400)" hidden="1">
          <a:extLst>
            <a:ext uri="{FF2B5EF4-FFF2-40B4-BE49-F238E27FC236}">
              <a16:creationId xmlns:a16="http://schemas.microsoft.com/office/drawing/2014/main" id="{8A0A7F0A-A92B-4DF7-9BD1-9C86C5632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7517" b="89860" l="9903" r="89855">
                      <a14:foregroundMark x1="39372" y1="7517" x2="45652" y2="8566"/>
                      <a14:backgroundMark x1="34058" y1="15734" x2="20290" y2="48427"/>
                      <a14:backgroundMark x1="20290" y1="48427" x2="32126" y2="66958"/>
                      <a14:backgroundMark x1="33816" y1="43706" x2="34058" y2="51748"/>
                      <a14:backgroundMark x1="62077" y1="6818" x2="58937" y2="37238"/>
                      <a14:backgroundMark x1="49275" y1="14161" x2="49758" y2="15210"/>
                      <a14:backgroundMark x1="49034" y1="19056" x2="49275" y2="46678"/>
                      <a14:backgroundMark x1="50966" y1="12937" x2="52174" y2="17483"/>
                      <a14:backgroundMark x1="29952" y1="14161" x2="31159" y2="26399"/>
                      <a14:backgroundMark x1="50725" y1="30769" x2="56280" y2="40385"/>
                      <a14:backgroundMark x1="31643" y1="48951" x2="27295" y2="68881"/>
                      <a14:backgroundMark x1="62560" y1="78497" x2="61836" y2="98077"/>
                      <a14:backgroundMark x1="19082" y1="90909" x2="75845" y2="90909"/>
                      <a14:backgroundMark x1="1449" y1="95629" x2="4106" y2="98601"/>
                      <a14:backgroundMark x1="50483" y1="66434" x2="50483" y2="70979"/>
                      <a14:backgroundMark x1="49034" y1="59266" x2="51691" y2="63462"/>
                      <a14:backgroundMark x1="49034" y1="56993" x2="51449" y2="56993"/>
                      <a14:backgroundMark x1="50000" y1="55944" x2="53140" y2="56469"/>
                      <a14:backgroundMark x1="49758" y1="55245" x2="52899" y2="55245"/>
                      <a14:backgroundMark x1="50483" y1="71678" x2="51449" y2="8671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7157358" y="4245428"/>
          <a:ext cx="1076189" cy="1498059"/>
        </a:xfrm>
        <a:prstGeom prst="rect">
          <a:avLst/>
        </a:prstGeom>
      </xdr:spPr>
    </xdr:pic>
    <xdr:clientData/>
  </xdr:twoCellAnchor>
  <xdr:twoCellAnchor>
    <xdr:from>
      <xdr:col>16</xdr:col>
      <xdr:colOff>54428</xdr:colOff>
      <xdr:row>0</xdr:row>
      <xdr:rowOff>317501</xdr:rowOff>
    </xdr:from>
    <xdr:to>
      <xdr:col>23</xdr:col>
      <xdr:colOff>170135</xdr:colOff>
      <xdr:row>2</xdr:row>
      <xdr:rowOff>42156</xdr:rowOff>
    </xdr:to>
    <xdr:pic>
      <xdr:nvPicPr>
        <xdr:cNvPr id="640" name="_x21908488">
          <a:extLst>
            <a:ext uri="{FF2B5EF4-FFF2-40B4-BE49-F238E27FC236}">
              <a16:creationId xmlns:a16="http://schemas.microsoft.com/office/drawing/2014/main" id="{5223991E-DEB1-47D1-8C8F-213354F552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75928" y="317501"/>
          <a:ext cx="1521778" cy="5229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34637</xdr:colOff>
      <xdr:row>7</xdr:row>
      <xdr:rowOff>138546</xdr:rowOff>
    </xdr:from>
    <xdr:to>
      <xdr:col>17</xdr:col>
      <xdr:colOff>1</xdr:colOff>
      <xdr:row>21</xdr:row>
      <xdr:rowOff>242454</xdr:rowOff>
    </xdr:to>
    <xdr:sp macro="" textlink="">
      <xdr:nvSpPr>
        <xdr:cNvPr id="28" name="직사각형 27" hidden="1">
          <a:extLst>
            <a:ext uri="{FF2B5EF4-FFF2-40B4-BE49-F238E27FC236}">
              <a16:creationId xmlns:a16="http://schemas.microsoft.com/office/drawing/2014/main" id="{8F1891AE-3F8F-4502-8764-C1E7AB927BD0}"/>
            </a:ext>
          </a:extLst>
        </xdr:cNvPr>
        <xdr:cNvSpPr/>
      </xdr:nvSpPr>
      <xdr:spPr>
        <a:xfrm>
          <a:off x="7862455" y="2545773"/>
          <a:ext cx="173182" cy="490104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207818</xdr:colOff>
      <xdr:row>5</xdr:row>
      <xdr:rowOff>225137</xdr:rowOff>
    </xdr:from>
    <xdr:to>
      <xdr:col>24</xdr:col>
      <xdr:colOff>51955</xdr:colOff>
      <xdr:row>23</xdr:row>
      <xdr:rowOff>173181</xdr:rowOff>
    </xdr:to>
    <xdr:grpSp>
      <xdr:nvGrpSpPr>
        <xdr:cNvPr id="15" name="시스템도어">
          <a:extLst>
            <a:ext uri="{FF2B5EF4-FFF2-40B4-BE49-F238E27FC236}">
              <a16:creationId xmlns:a16="http://schemas.microsoft.com/office/drawing/2014/main" id="{DF0CA2AE-5E3D-4DBD-BF1C-FA2E121FB133}"/>
            </a:ext>
          </a:extLst>
        </xdr:cNvPr>
        <xdr:cNvGrpSpPr/>
      </xdr:nvGrpSpPr>
      <xdr:grpSpPr>
        <a:xfrm>
          <a:off x="6140532" y="2048494"/>
          <a:ext cx="3654137" cy="6003223"/>
          <a:chOff x="9634903" y="1399443"/>
          <a:chExt cx="1362808" cy="2798885"/>
        </a:xfrm>
      </xdr:grpSpPr>
      <xdr:sp macro="" textlink="">
        <xdr:nvSpPr>
          <xdr:cNvPr id="16" name="액자 15">
            <a:extLst>
              <a:ext uri="{FF2B5EF4-FFF2-40B4-BE49-F238E27FC236}">
                <a16:creationId xmlns:a16="http://schemas.microsoft.com/office/drawing/2014/main" id="{97FB13A2-FB69-A838-1061-6317B04D7622}"/>
              </a:ext>
            </a:extLst>
          </xdr:cNvPr>
          <xdr:cNvSpPr/>
        </xdr:nvSpPr>
        <xdr:spPr>
          <a:xfrm>
            <a:off x="9634903" y="1399443"/>
            <a:ext cx="1362808" cy="2798885"/>
          </a:xfrm>
          <a:prstGeom prst="frame">
            <a:avLst>
              <a:gd name="adj1" fmla="val 9274"/>
            </a:avLst>
          </a:prstGeom>
          <a:solidFill>
            <a:schemeClr val="bg1">
              <a:lumMod val="5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solidFill>
                <a:schemeClr val="tx1"/>
              </a:solidFill>
            </a:endParaRPr>
          </a:p>
        </xdr:txBody>
      </xdr:sp>
      <xdr:grpSp>
        <xdr:nvGrpSpPr>
          <xdr:cNvPr id="17" name="그룹 16">
            <a:extLst>
              <a:ext uri="{FF2B5EF4-FFF2-40B4-BE49-F238E27FC236}">
                <a16:creationId xmlns:a16="http://schemas.microsoft.com/office/drawing/2014/main" id="{66EED358-B72F-A171-D87B-34D1617749EB}"/>
              </a:ext>
            </a:extLst>
          </xdr:cNvPr>
          <xdr:cNvGrpSpPr/>
        </xdr:nvGrpSpPr>
        <xdr:grpSpPr>
          <a:xfrm>
            <a:off x="9758798" y="1510068"/>
            <a:ext cx="1118272" cy="2566601"/>
            <a:chOff x="9779977" y="1532037"/>
            <a:chExt cx="1081091" cy="2522677"/>
          </a:xfrm>
        </xdr:grpSpPr>
        <xdr:sp macro="" textlink="">
          <xdr:nvSpPr>
            <xdr:cNvPr id="18" name="액자 17">
              <a:extLst>
                <a:ext uri="{FF2B5EF4-FFF2-40B4-BE49-F238E27FC236}">
                  <a16:creationId xmlns:a16="http://schemas.microsoft.com/office/drawing/2014/main" id="{D78B7659-3278-A7CE-9B3B-F89FAA33876C}"/>
                </a:ext>
              </a:extLst>
            </xdr:cNvPr>
            <xdr:cNvSpPr/>
          </xdr:nvSpPr>
          <xdr:spPr>
            <a:xfrm>
              <a:off x="9779977" y="1537189"/>
              <a:ext cx="1078523" cy="2514599"/>
            </a:xfrm>
            <a:prstGeom prst="frame">
              <a:avLst>
                <a:gd name="adj1" fmla="val 10349"/>
              </a:avLst>
            </a:prstGeom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>
                <a:solidFill>
                  <a:schemeClr val="tx1"/>
                </a:solidFill>
              </a:endParaRPr>
            </a:p>
          </xdr:txBody>
        </xdr:sp>
        <xdr:cxnSp macro="">
          <xdr:nvCxnSpPr>
            <xdr:cNvPr id="19" name="직선 연결선 18">
              <a:extLst>
                <a:ext uri="{FF2B5EF4-FFF2-40B4-BE49-F238E27FC236}">
                  <a16:creationId xmlns:a16="http://schemas.microsoft.com/office/drawing/2014/main" id="{879CD2A1-94D3-4D76-288D-B492F1820A83}"/>
                </a:ext>
              </a:extLst>
            </xdr:cNvPr>
            <xdr:cNvCxnSpPr/>
          </xdr:nvCxnSpPr>
          <xdr:spPr>
            <a:xfrm>
              <a:off x="9784003" y="1535717"/>
              <a:ext cx="111846" cy="149969"/>
            </a:xfrm>
            <a:prstGeom prst="line">
              <a:avLst/>
            </a:prstGeom>
            <a:ln>
              <a:solidFill>
                <a:schemeClr val="tx1">
                  <a:lumMod val="95000"/>
                  <a:lumOff val="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" name="직선 연결선 19">
              <a:extLst>
                <a:ext uri="{FF2B5EF4-FFF2-40B4-BE49-F238E27FC236}">
                  <a16:creationId xmlns:a16="http://schemas.microsoft.com/office/drawing/2014/main" id="{457D5FEA-B283-FF04-157F-B891CF4A5D4C}"/>
                </a:ext>
              </a:extLst>
            </xdr:cNvPr>
            <xdr:cNvCxnSpPr/>
          </xdr:nvCxnSpPr>
          <xdr:spPr>
            <a:xfrm>
              <a:off x="10745746" y="3903763"/>
              <a:ext cx="115322" cy="150951"/>
            </a:xfrm>
            <a:prstGeom prst="line">
              <a:avLst/>
            </a:prstGeom>
            <a:ln>
              <a:solidFill>
                <a:schemeClr val="tx1">
                  <a:lumMod val="95000"/>
                  <a:lumOff val="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" name="직선 연결선 20">
              <a:extLst>
                <a:ext uri="{FF2B5EF4-FFF2-40B4-BE49-F238E27FC236}">
                  <a16:creationId xmlns:a16="http://schemas.microsoft.com/office/drawing/2014/main" id="{51BA0037-FD6F-27CB-049C-1B44FF853E82}"/>
                </a:ext>
              </a:extLst>
            </xdr:cNvPr>
            <xdr:cNvCxnSpPr/>
          </xdr:nvCxnSpPr>
          <xdr:spPr>
            <a:xfrm flipH="1">
              <a:off x="9782840" y="3898239"/>
              <a:ext cx="109714" cy="139853"/>
            </a:xfrm>
            <a:prstGeom prst="line">
              <a:avLst/>
            </a:prstGeom>
            <a:ln>
              <a:solidFill>
                <a:schemeClr val="tx1">
                  <a:lumMod val="95000"/>
                  <a:lumOff val="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" name="직선 연결선 21">
              <a:extLst>
                <a:ext uri="{FF2B5EF4-FFF2-40B4-BE49-F238E27FC236}">
                  <a16:creationId xmlns:a16="http://schemas.microsoft.com/office/drawing/2014/main" id="{390E128A-0C29-4A5E-0B49-A9F2A645A6C9}"/>
                </a:ext>
              </a:extLst>
            </xdr:cNvPr>
            <xdr:cNvCxnSpPr/>
          </xdr:nvCxnSpPr>
          <xdr:spPr>
            <a:xfrm flipH="1">
              <a:off x="10746208" y="1532037"/>
              <a:ext cx="112062" cy="153650"/>
            </a:xfrm>
            <a:prstGeom prst="line">
              <a:avLst/>
            </a:prstGeom>
            <a:ln>
              <a:solidFill>
                <a:schemeClr val="tx1">
                  <a:lumMod val="95000"/>
                  <a:lumOff val="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258536</xdr:colOff>
          <xdr:row>4</xdr:row>
          <xdr:rowOff>63233</xdr:rowOff>
        </xdr:from>
        <xdr:to>
          <xdr:col>29</xdr:col>
          <xdr:colOff>612321</xdr:colOff>
          <xdr:row>19</xdr:row>
          <xdr:rowOff>482436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DB45642F-CA9C-4514-8ED7-56AD96036A9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10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209360" y="1609645"/>
              <a:ext cx="2785461" cy="521633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190238</xdr:colOff>
          <xdr:row>26</xdr:row>
          <xdr:rowOff>64835</xdr:rowOff>
        </xdr:from>
        <xdr:to>
          <xdr:col>23</xdr:col>
          <xdr:colOff>854</xdr:colOff>
          <xdr:row>33</xdr:row>
          <xdr:rowOff>91458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1E62E72-C2CF-4A9E-8B03-0C3C47AF7B93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이미지불러오기4" spid="_x0000_s6101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891631" y="8351585"/>
              <a:ext cx="3592548" cy="205408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12</xdr:col>
      <xdr:colOff>22192</xdr:colOff>
      <xdr:row>14</xdr:row>
      <xdr:rowOff>65785</xdr:rowOff>
    </xdr:from>
    <xdr:to>
      <xdr:col>20</xdr:col>
      <xdr:colOff>219897</xdr:colOff>
      <xdr:row>16</xdr:row>
      <xdr:rowOff>32167</xdr:rowOff>
    </xdr:to>
    <xdr:sp macro="" textlink="AN22">
      <xdr:nvSpPr>
        <xdr:cNvPr id="9" name="TextBox 8">
          <a:extLst>
            <a:ext uri="{FF2B5EF4-FFF2-40B4-BE49-F238E27FC236}">
              <a16:creationId xmlns:a16="http://schemas.microsoft.com/office/drawing/2014/main" id="{EE996ADD-ED10-4E0D-BA0B-95DBA22B4A06}"/>
            </a:ext>
          </a:extLst>
        </xdr:cNvPr>
        <xdr:cNvSpPr txBox="1"/>
      </xdr:nvSpPr>
      <xdr:spPr>
        <a:xfrm>
          <a:off x="6845556" y="4724376"/>
          <a:ext cx="2085386" cy="55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8EC09A5-CF8D-4AFF-BEF1-79C7F90F5F70}" type="TxLink">
            <a:rPr lang="ko-KR" altLang="en-US" sz="1600" b="1" i="0" u="none" strike="noStrike" kern="1200">
              <a:solidFill>
                <a:srgbClr val="FF0000"/>
              </a:solidFill>
              <a:latin typeface="맑은 고딕"/>
              <a:ea typeface="맑은 고딕"/>
            </a:rPr>
            <a:pPr algn="ctr"/>
            <a:t>손잡이기본1000</a:t>
          </a:fld>
          <a:endParaRPr lang="ko-KR" altLang="en-US" sz="1400" kern="12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122464</xdr:colOff>
          <xdr:row>22</xdr:row>
          <xdr:rowOff>40501</xdr:rowOff>
        </xdr:from>
        <xdr:to>
          <xdr:col>53</xdr:col>
          <xdr:colOff>153760</xdr:colOff>
          <xdr:row>34</xdr:row>
          <xdr:rowOff>172092</xdr:rowOff>
        </xdr:to>
        <xdr:pic>
          <xdr:nvPicPr>
            <xdr:cNvPr id="12" name="그림 11">
              <a:extLst>
                <a:ext uri="{FF2B5EF4-FFF2-40B4-BE49-F238E27FC236}">
                  <a16:creationId xmlns:a16="http://schemas.microsoft.com/office/drawing/2014/main" id="{DD910BA6-CAAF-4583-BE64-D00EEBF7FC8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[1]Sheet1!$BI$2:$BQ$14" spid="_x0000_s6101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0818928" y="7619680"/>
              <a:ext cx="6127296" cy="358780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28</xdr:col>
      <xdr:colOff>538727</xdr:colOff>
      <xdr:row>19</xdr:row>
      <xdr:rowOff>230232</xdr:rowOff>
    </xdr:from>
    <xdr:to>
      <xdr:col>29</xdr:col>
      <xdr:colOff>143640</xdr:colOff>
      <xdr:row>19</xdr:row>
      <xdr:rowOff>297466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B6010DA6-6534-44E8-8B7D-B77906CE4BCC}"/>
            </a:ext>
          </a:extLst>
        </xdr:cNvPr>
        <xdr:cNvSpPr/>
      </xdr:nvSpPr>
      <xdr:spPr>
        <a:xfrm>
          <a:off x="12280454" y="6603323"/>
          <a:ext cx="245686" cy="6723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166051</xdr:colOff>
      <xdr:row>19</xdr:row>
      <xdr:rowOff>235355</xdr:rowOff>
    </xdr:from>
    <xdr:to>
      <xdr:col>26</xdr:col>
      <xdr:colOff>409699</xdr:colOff>
      <xdr:row>19</xdr:row>
      <xdr:rowOff>302589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2C04B6BF-1E2A-4DC3-843F-FBEEA02F2FAF}"/>
            </a:ext>
          </a:extLst>
        </xdr:cNvPr>
        <xdr:cNvSpPr/>
      </xdr:nvSpPr>
      <xdr:spPr>
        <a:xfrm>
          <a:off x="10626233" y="6608446"/>
          <a:ext cx="243648" cy="6723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147132</xdr:colOff>
      <xdr:row>22</xdr:row>
      <xdr:rowOff>23024</xdr:rowOff>
    </xdr:from>
    <xdr:to>
      <xdr:col>20</xdr:col>
      <xdr:colOff>166663</xdr:colOff>
      <xdr:row>22</xdr:row>
      <xdr:rowOff>90258</xdr:rowOff>
    </xdr:to>
    <xdr:sp macro="" textlink="">
      <xdr:nvSpPr>
        <xdr:cNvPr id="13" name="물구멍2">
          <a:extLst>
            <a:ext uri="{FF2B5EF4-FFF2-40B4-BE49-F238E27FC236}">
              <a16:creationId xmlns:a16="http://schemas.microsoft.com/office/drawing/2014/main" id="{A9C9A54C-628A-4671-AC04-089F69E22581}"/>
            </a:ext>
          </a:extLst>
        </xdr:cNvPr>
        <xdr:cNvSpPr/>
      </xdr:nvSpPr>
      <xdr:spPr>
        <a:xfrm>
          <a:off x="8633041" y="7521797"/>
          <a:ext cx="244667" cy="6723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166662</xdr:colOff>
      <xdr:row>22</xdr:row>
      <xdr:rowOff>39353</xdr:rowOff>
    </xdr:from>
    <xdr:to>
      <xdr:col>13</xdr:col>
      <xdr:colOff>81265</xdr:colOff>
      <xdr:row>22</xdr:row>
      <xdr:rowOff>106587</xdr:rowOff>
    </xdr:to>
    <xdr:sp macro="" textlink="">
      <xdr:nvSpPr>
        <xdr:cNvPr id="14" name="물구멍1">
          <a:extLst>
            <a:ext uri="{FF2B5EF4-FFF2-40B4-BE49-F238E27FC236}">
              <a16:creationId xmlns:a16="http://schemas.microsoft.com/office/drawing/2014/main" id="{AC8840C6-D894-48A2-BED7-6A5A3F898FD0}"/>
            </a:ext>
          </a:extLst>
        </xdr:cNvPr>
        <xdr:cNvSpPr/>
      </xdr:nvSpPr>
      <xdr:spPr>
        <a:xfrm>
          <a:off x="6990026" y="7538126"/>
          <a:ext cx="243648" cy="6723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212756</xdr:colOff>
      <xdr:row>22</xdr:row>
      <xdr:rowOff>259772</xdr:rowOff>
    </xdr:from>
    <xdr:to>
      <xdr:col>24</xdr:col>
      <xdr:colOff>86591</xdr:colOff>
      <xdr:row>24</xdr:row>
      <xdr:rowOff>34636</xdr:rowOff>
    </xdr:to>
    <xdr:sp macro="" textlink="">
      <xdr:nvSpPr>
        <xdr:cNvPr id="23" name="직사각형 3">
          <a:extLst>
            <a:ext uri="{FF2B5EF4-FFF2-40B4-BE49-F238E27FC236}">
              <a16:creationId xmlns:a16="http://schemas.microsoft.com/office/drawing/2014/main" id="{BD0FAAD0-55CF-441F-93E3-72319B46E65A}"/>
            </a:ext>
          </a:extLst>
        </xdr:cNvPr>
        <xdr:cNvSpPr/>
      </xdr:nvSpPr>
      <xdr:spPr>
        <a:xfrm>
          <a:off x="6135574" y="7758545"/>
          <a:ext cx="3597244" cy="363682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altLang="ko-KR" sz="1100" kern="1200"/>
        </a:p>
        <a:p>
          <a:pPr algn="l"/>
          <a:endParaRPr lang="en-US" altLang="ko-KR" sz="1100" kern="1200"/>
        </a:p>
      </xdr:txBody>
    </xdr:sp>
    <xdr:clientData/>
  </xdr:twoCellAnchor>
  <xdr:twoCellAnchor>
    <xdr:from>
      <xdr:col>8</xdr:col>
      <xdr:colOff>190500</xdr:colOff>
      <xdr:row>22</xdr:row>
      <xdr:rowOff>217715</xdr:rowOff>
    </xdr:from>
    <xdr:to>
      <xdr:col>24</xdr:col>
      <xdr:colOff>86591</xdr:colOff>
      <xdr:row>23</xdr:row>
      <xdr:rowOff>121227</xdr:rowOff>
    </xdr:to>
    <xdr:sp macro="" textlink="">
      <xdr:nvSpPr>
        <xdr:cNvPr id="24" name="직사각형 4">
          <a:extLst>
            <a:ext uri="{FF2B5EF4-FFF2-40B4-BE49-F238E27FC236}">
              <a16:creationId xmlns:a16="http://schemas.microsoft.com/office/drawing/2014/main" id="{D9C32341-800C-498A-B09F-C7EFEFE5F7D5}"/>
            </a:ext>
          </a:extLst>
        </xdr:cNvPr>
        <xdr:cNvSpPr/>
      </xdr:nvSpPr>
      <xdr:spPr>
        <a:xfrm>
          <a:off x="6113318" y="7716488"/>
          <a:ext cx="3619500" cy="197921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22</xdr:col>
      <xdr:colOff>124080</xdr:colOff>
      <xdr:row>7</xdr:row>
      <xdr:rowOff>173183</xdr:rowOff>
    </xdr:from>
    <xdr:to>
      <xdr:col>23</xdr:col>
      <xdr:colOff>76607</xdr:colOff>
      <xdr:row>9</xdr:row>
      <xdr:rowOff>263441</xdr:rowOff>
    </xdr:to>
    <xdr:sp macro="" textlink="">
      <xdr:nvSpPr>
        <xdr:cNvPr id="25" name="우경첩1">
          <a:extLst>
            <a:ext uri="{FF2B5EF4-FFF2-40B4-BE49-F238E27FC236}">
              <a16:creationId xmlns:a16="http://schemas.microsoft.com/office/drawing/2014/main" id="{34D0BF5C-5D15-4C12-9C60-4D49736A8FF5}"/>
            </a:ext>
          </a:extLst>
        </xdr:cNvPr>
        <xdr:cNvSpPr/>
      </xdr:nvSpPr>
      <xdr:spPr>
        <a:xfrm>
          <a:off x="9285398" y="2580410"/>
          <a:ext cx="194982" cy="679076"/>
        </a:xfrm>
        <a:prstGeom prst="roundRect">
          <a:avLst/>
        </a:prstGeom>
        <a:solidFill>
          <a:schemeClr val="accent4">
            <a:lumMod val="40000"/>
            <a:lumOff val="60000"/>
            <a:alpha val="89000"/>
          </a:schemeClr>
        </a:solidFill>
        <a:ln>
          <a:solidFill>
            <a:schemeClr val="accent2">
              <a:lumMod val="75000"/>
            </a:schemeClr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108391</xdr:colOff>
      <xdr:row>14</xdr:row>
      <xdr:rowOff>2650</xdr:rowOff>
    </xdr:from>
    <xdr:to>
      <xdr:col>23</xdr:col>
      <xdr:colOff>69271</xdr:colOff>
      <xdr:row>16</xdr:row>
      <xdr:rowOff>51955</xdr:rowOff>
    </xdr:to>
    <xdr:sp macro="" textlink="">
      <xdr:nvSpPr>
        <xdr:cNvPr id="26" name="우경첩3" hidden="1">
          <a:extLst>
            <a:ext uri="{FF2B5EF4-FFF2-40B4-BE49-F238E27FC236}">
              <a16:creationId xmlns:a16="http://schemas.microsoft.com/office/drawing/2014/main" id="{DF090C03-D3D3-418C-BAA4-5079ABFD838A}"/>
            </a:ext>
          </a:extLst>
        </xdr:cNvPr>
        <xdr:cNvSpPr/>
      </xdr:nvSpPr>
      <xdr:spPr>
        <a:xfrm>
          <a:off x="9269709" y="4661241"/>
          <a:ext cx="203335" cy="638123"/>
        </a:xfrm>
        <a:prstGeom prst="roundRect">
          <a:avLst/>
        </a:prstGeom>
        <a:solidFill>
          <a:schemeClr val="accent4">
            <a:lumMod val="40000"/>
            <a:lumOff val="60000"/>
            <a:alpha val="89000"/>
          </a:schemeClr>
        </a:solidFill>
        <a:ln>
          <a:solidFill>
            <a:schemeClr val="accent2">
              <a:lumMod val="75000"/>
            </a:schemeClr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121228</xdr:colOff>
      <xdr:row>10</xdr:row>
      <xdr:rowOff>322119</xdr:rowOff>
    </xdr:from>
    <xdr:to>
      <xdr:col>23</xdr:col>
      <xdr:colOff>73755</xdr:colOff>
      <xdr:row>12</xdr:row>
      <xdr:rowOff>221877</xdr:rowOff>
    </xdr:to>
    <xdr:sp macro="" textlink="">
      <xdr:nvSpPr>
        <xdr:cNvPr id="27" name="우경첩2" hidden="1">
          <a:extLst>
            <a:ext uri="{FF2B5EF4-FFF2-40B4-BE49-F238E27FC236}">
              <a16:creationId xmlns:a16="http://schemas.microsoft.com/office/drawing/2014/main" id="{3FC4F30F-5A6E-4CAE-BDCE-A8A8F09357D5}"/>
            </a:ext>
          </a:extLst>
        </xdr:cNvPr>
        <xdr:cNvSpPr/>
      </xdr:nvSpPr>
      <xdr:spPr>
        <a:xfrm>
          <a:off x="9282546" y="3612574"/>
          <a:ext cx="194982" cy="679076"/>
        </a:xfrm>
        <a:prstGeom prst="roundRect">
          <a:avLst/>
        </a:prstGeom>
        <a:solidFill>
          <a:schemeClr val="accent4">
            <a:lumMod val="40000"/>
            <a:lumOff val="60000"/>
            <a:alpha val="89000"/>
          </a:schemeClr>
        </a:solidFill>
        <a:ln>
          <a:solidFill>
            <a:schemeClr val="accent2">
              <a:lumMod val="75000"/>
            </a:schemeClr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103909</xdr:colOff>
      <xdr:row>19</xdr:row>
      <xdr:rowOff>415636</xdr:rowOff>
    </xdr:from>
    <xdr:to>
      <xdr:col>23</xdr:col>
      <xdr:colOff>56436</xdr:colOff>
      <xdr:row>21</xdr:row>
      <xdr:rowOff>263439</xdr:rowOff>
    </xdr:to>
    <xdr:sp macro="" textlink="">
      <xdr:nvSpPr>
        <xdr:cNvPr id="29" name="우경첩4">
          <a:extLst>
            <a:ext uri="{FF2B5EF4-FFF2-40B4-BE49-F238E27FC236}">
              <a16:creationId xmlns:a16="http://schemas.microsoft.com/office/drawing/2014/main" id="{F1BE4814-7B51-4CEA-A332-26C09F4DBF92}"/>
            </a:ext>
          </a:extLst>
        </xdr:cNvPr>
        <xdr:cNvSpPr/>
      </xdr:nvSpPr>
      <xdr:spPr>
        <a:xfrm>
          <a:off x="9265227" y="6788727"/>
          <a:ext cx="194982" cy="679076"/>
        </a:xfrm>
        <a:prstGeom prst="roundRect">
          <a:avLst/>
        </a:prstGeom>
        <a:solidFill>
          <a:schemeClr val="accent4">
            <a:lumMod val="40000"/>
            <a:lumOff val="60000"/>
            <a:alpha val="89000"/>
          </a:schemeClr>
        </a:solidFill>
        <a:ln>
          <a:solidFill>
            <a:schemeClr val="accent2">
              <a:lumMod val="75000"/>
            </a:schemeClr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16707</xdr:colOff>
      <xdr:row>7</xdr:row>
      <xdr:rowOff>290947</xdr:rowOff>
    </xdr:from>
    <xdr:to>
      <xdr:col>10</xdr:col>
      <xdr:colOff>211689</xdr:colOff>
      <xdr:row>10</xdr:row>
      <xdr:rowOff>86795</xdr:rowOff>
    </xdr:to>
    <xdr:sp macro="" textlink="">
      <xdr:nvSpPr>
        <xdr:cNvPr id="30" name="좌경첩1" hidden="1">
          <a:extLst>
            <a:ext uri="{FF2B5EF4-FFF2-40B4-BE49-F238E27FC236}">
              <a16:creationId xmlns:a16="http://schemas.microsoft.com/office/drawing/2014/main" id="{349096ED-ABAD-47DA-A194-A9570F179079}"/>
            </a:ext>
          </a:extLst>
        </xdr:cNvPr>
        <xdr:cNvSpPr/>
      </xdr:nvSpPr>
      <xdr:spPr>
        <a:xfrm>
          <a:off x="6389798" y="2698174"/>
          <a:ext cx="194982" cy="679076"/>
        </a:xfrm>
        <a:prstGeom prst="roundRect">
          <a:avLst/>
        </a:prstGeom>
        <a:solidFill>
          <a:schemeClr val="accent4">
            <a:lumMod val="40000"/>
            <a:lumOff val="60000"/>
            <a:alpha val="89000"/>
          </a:schemeClr>
        </a:solidFill>
        <a:ln>
          <a:solidFill>
            <a:schemeClr val="accent2">
              <a:lumMod val="75000"/>
            </a:schemeClr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1018</xdr:colOff>
      <xdr:row>14</xdr:row>
      <xdr:rowOff>120414</xdr:rowOff>
    </xdr:from>
    <xdr:to>
      <xdr:col>10</xdr:col>
      <xdr:colOff>204353</xdr:colOff>
      <xdr:row>16</xdr:row>
      <xdr:rowOff>169719</xdr:rowOff>
    </xdr:to>
    <xdr:sp macro="" textlink="">
      <xdr:nvSpPr>
        <xdr:cNvPr id="31" name="좌경첩3" hidden="1">
          <a:extLst>
            <a:ext uri="{FF2B5EF4-FFF2-40B4-BE49-F238E27FC236}">
              <a16:creationId xmlns:a16="http://schemas.microsoft.com/office/drawing/2014/main" id="{087BDBA6-1816-4933-B1EA-A5463528A045}"/>
            </a:ext>
          </a:extLst>
        </xdr:cNvPr>
        <xdr:cNvSpPr/>
      </xdr:nvSpPr>
      <xdr:spPr>
        <a:xfrm>
          <a:off x="6374109" y="4779005"/>
          <a:ext cx="203335" cy="638123"/>
        </a:xfrm>
        <a:prstGeom prst="roundRect">
          <a:avLst/>
        </a:prstGeom>
        <a:solidFill>
          <a:schemeClr val="accent4">
            <a:lumMod val="40000"/>
            <a:lumOff val="60000"/>
            <a:alpha val="89000"/>
          </a:schemeClr>
        </a:solidFill>
        <a:ln>
          <a:solidFill>
            <a:schemeClr val="accent2">
              <a:lumMod val="75000"/>
            </a:schemeClr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13855</xdr:colOff>
      <xdr:row>11</xdr:row>
      <xdr:rowOff>58883</xdr:rowOff>
    </xdr:from>
    <xdr:to>
      <xdr:col>10</xdr:col>
      <xdr:colOff>208837</xdr:colOff>
      <xdr:row>13</xdr:row>
      <xdr:rowOff>45232</xdr:rowOff>
    </xdr:to>
    <xdr:sp macro="" textlink="">
      <xdr:nvSpPr>
        <xdr:cNvPr id="32" name="좌경첩2" hidden="1">
          <a:extLst>
            <a:ext uri="{FF2B5EF4-FFF2-40B4-BE49-F238E27FC236}">
              <a16:creationId xmlns:a16="http://schemas.microsoft.com/office/drawing/2014/main" id="{579E12B4-266F-4D0A-8B94-5E6659653757}"/>
            </a:ext>
          </a:extLst>
        </xdr:cNvPr>
        <xdr:cNvSpPr/>
      </xdr:nvSpPr>
      <xdr:spPr>
        <a:xfrm>
          <a:off x="6386946" y="3730338"/>
          <a:ext cx="194982" cy="679076"/>
        </a:xfrm>
        <a:prstGeom prst="roundRect">
          <a:avLst/>
        </a:prstGeom>
        <a:solidFill>
          <a:schemeClr val="accent4">
            <a:lumMod val="40000"/>
            <a:lumOff val="60000"/>
            <a:alpha val="89000"/>
          </a:schemeClr>
        </a:solidFill>
        <a:ln>
          <a:solidFill>
            <a:schemeClr val="accent2">
              <a:lumMod val="75000"/>
            </a:schemeClr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221672</xdr:colOff>
      <xdr:row>19</xdr:row>
      <xdr:rowOff>533400</xdr:rowOff>
    </xdr:from>
    <xdr:to>
      <xdr:col>10</xdr:col>
      <xdr:colOff>191518</xdr:colOff>
      <xdr:row>22</xdr:row>
      <xdr:rowOff>86794</xdr:rowOff>
    </xdr:to>
    <xdr:sp macro="" textlink="">
      <xdr:nvSpPr>
        <xdr:cNvPr id="33" name="좌경첩4" hidden="1">
          <a:extLst>
            <a:ext uri="{FF2B5EF4-FFF2-40B4-BE49-F238E27FC236}">
              <a16:creationId xmlns:a16="http://schemas.microsoft.com/office/drawing/2014/main" id="{6FF16B3B-BAEA-4958-9013-F4EA071E9456}"/>
            </a:ext>
          </a:extLst>
        </xdr:cNvPr>
        <xdr:cNvSpPr/>
      </xdr:nvSpPr>
      <xdr:spPr>
        <a:xfrm>
          <a:off x="6369627" y="6906491"/>
          <a:ext cx="194982" cy="679076"/>
        </a:xfrm>
        <a:prstGeom prst="roundRect">
          <a:avLst/>
        </a:prstGeom>
        <a:solidFill>
          <a:schemeClr val="accent4">
            <a:lumMod val="40000"/>
            <a:lumOff val="60000"/>
            <a:alpha val="89000"/>
          </a:schemeClr>
        </a:solidFill>
        <a:ln>
          <a:solidFill>
            <a:schemeClr val="accent2">
              <a:lumMod val="75000"/>
            </a:schemeClr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19</xdr:col>
      <xdr:colOff>69273</xdr:colOff>
      <xdr:row>12</xdr:row>
      <xdr:rowOff>117163</xdr:rowOff>
    </xdr:from>
    <xdr:to>
      <xdr:col>23</xdr:col>
      <xdr:colOff>155809</xdr:colOff>
      <xdr:row>17</xdr:row>
      <xdr:rowOff>280347</xdr:rowOff>
    </xdr:to>
    <xdr:pic>
      <xdr:nvPicPr>
        <xdr:cNvPr id="5" name="좌경첩전자키(MSD400B)" hidden="1">
          <a:extLst>
            <a:ext uri="{FF2B5EF4-FFF2-40B4-BE49-F238E27FC236}">
              <a16:creationId xmlns:a16="http://schemas.microsoft.com/office/drawing/2014/main" id="{C6C14B56-7B33-4B07-9949-CDE2AF796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31" b="90034" l="9561" r="89406">
                      <a14:foregroundMark x1="23514" y1="1031" x2="23514" y2="1031"/>
                      <a14:foregroundMark x1="33075" y1="90034" x2="33075" y2="90034"/>
                      <a14:backgroundMark x1="29199" y1="5670" x2="42119" y2="5326"/>
                      <a14:backgroundMark x1="26873" y1="2234" x2="27132" y2="4124"/>
                      <a14:backgroundMark x1="23514" y1="1375" x2="26098" y2="93299"/>
                      <a14:backgroundMark x1="25840" y1="27835" x2="25581" y2="24055"/>
                      <a14:backgroundMark x1="25840" y1="9794" x2="26615" y2="70103"/>
                      <a14:backgroundMark x1="44186" y1="63746" x2="43669" y2="90550"/>
                      <a14:backgroundMark x1="43669" y1="60137" x2="45220" y2="90378"/>
                      <a14:backgroundMark x1="83204" y1="82646" x2="83204" y2="82646"/>
                      <a14:backgroundMark x1="42894" y1="60309" x2="49354" y2="60309"/>
                      <a14:backgroundMark x1="44186" y1="60137" x2="48320" y2="60481"/>
                      <a14:backgroundMark x1="44186" y1="58763" x2="44444" y2="61684"/>
                      <a14:backgroundMark x1="44444" y1="58419" x2="45995" y2="60481"/>
                      <a14:backgroundMark x1="42377" y1="58935" x2="47287" y2="5859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8555182" y="4186936"/>
          <a:ext cx="1004400" cy="1635229"/>
        </a:xfrm>
        <a:prstGeom prst="rect">
          <a:avLst/>
        </a:prstGeom>
      </xdr:spPr>
    </xdr:pic>
    <xdr:clientData/>
  </xdr:twoCellAnchor>
  <xdr:twoCellAnchor editAs="oneCell">
    <xdr:from>
      <xdr:col>9</xdr:col>
      <xdr:colOff>140574</xdr:colOff>
      <xdr:row>12</xdr:row>
      <xdr:rowOff>259773</xdr:rowOff>
    </xdr:from>
    <xdr:to>
      <xdr:col>13</xdr:col>
      <xdr:colOff>138545</xdr:colOff>
      <xdr:row>17</xdr:row>
      <xdr:rowOff>90928</xdr:rowOff>
    </xdr:to>
    <xdr:pic>
      <xdr:nvPicPr>
        <xdr:cNvPr id="6" name="우경첩전자키(MSD400B)" hidden="1">
          <a:extLst>
            <a:ext uri="{FF2B5EF4-FFF2-40B4-BE49-F238E27FC236}">
              <a16:creationId xmlns:a16="http://schemas.microsoft.com/office/drawing/2014/main" id="{6BC304B1-A0F6-4F93-A6C7-3E12D1CFD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31" b="90034" l="9561" r="89406">
                      <a14:foregroundMark x1="23514" y1="1031" x2="23514" y2="1031"/>
                      <a14:foregroundMark x1="33075" y1="90034" x2="33075" y2="90034"/>
                      <a14:backgroundMark x1="29199" y1="5670" x2="42119" y2="5326"/>
                      <a14:backgroundMark x1="26873" y1="2234" x2="27132" y2="4124"/>
                      <a14:backgroundMark x1="23514" y1="1375" x2="26098" y2="93299"/>
                      <a14:backgroundMark x1="25840" y1="27835" x2="25581" y2="24055"/>
                      <a14:backgroundMark x1="25840" y1="9794" x2="26615" y2="70103"/>
                      <a14:backgroundMark x1="44186" y1="63746" x2="43669" y2="90550"/>
                      <a14:backgroundMark x1="43669" y1="60137" x2="45220" y2="90378"/>
                      <a14:backgroundMark x1="83204" y1="82646" x2="83204" y2="82646"/>
                      <a14:backgroundMark x1="42894" y1="60309" x2="49354" y2="60309"/>
                      <a14:backgroundMark x1="44186" y1="60137" x2="48320" y2="60481"/>
                      <a14:backgroundMark x1="44186" y1="58763" x2="44444" y2="61684"/>
                      <a14:backgroundMark x1="44444" y1="58419" x2="45995" y2="60481"/>
                      <a14:backgroundMark x1="42377" y1="58935" x2="47287" y2="5859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288529" y="4329546"/>
          <a:ext cx="1002425" cy="1303200"/>
        </a:xfrm>
        <a:prstGeom prst="rect">
          <a:avLst/>
        </a:prstGeom>
      </xdr:spPr>
    </xdr:pic>
    <xdr:clientData/>
  </xdr:twoCellAnchor>
  <xdr:twoCellAnchor>
    <xdr:from>
      <xdr:col>20</xdr:col>
      <xdr:colOff>190499</xdr:colOff>
      <xdr:row>13</xdr:row>
      <xdr:rowOff>99090</xdr:rowOff>
    </xdr:from>
    <xdr:to>
      <xdr:col>22</xdr:col>
      <xdr:colOff>100226</xdr:colOff>
      <xdr:row>17</xdr:row>
      <xdr:rowOff>1454</xdr:rowOff>
    </xdr:to>
    <xdr:grpSp>
      <xdr:nvGrpSpPr>
        <xdr:cNvPr id="7" name="좌경첩레바키" hidden="1">
          <a:extLst>
            <a:ext uri="{FF2B5EF4-FFF2-40B4-BE49-F238E27FC236}">
              <a16:creationId xmlns:a16="http://schemas.microsoft.com/office/drawing/2014/main" id="{0B06E7E0-B3F3-4EDC-9ADA-5D894FFAFD49}"/>
            </a:ext>
          </a:extLst>
        </xdr:cNvPr>
        <xdr:cNvGrpSpPr/>
      </xdr:nvGrpSpPr>
      <xdr:grpSpPr>
        <a:xfrm flipH="1">
          <a:off x="8980713" y="4494197"/>
          <a:ext cx="372370" cy="1099793"/>
          <a:chOff x="9475304" y="3470413"/>
          <a:chExt cx="339586" cy="737152"/>
        </a:xfrm>
      </xdr:grpSpPr>
      <xdr:grpSp>
        <xdr:nvGrpSpPr>
          <xdr:cNvPr id="8" name="그룹 7" hidden="1">
            <a:extLst>
              <a:ext uri="{FF2B5EF4-FFF2-40B4-BE49-F238E27FC236}">
                <a16:creationId xmlns:a16="http://schemas.microsoft.com/office/drawing/2014/main" id="{312B39C7-41BD-875B-D960-0291018C809F}"/>
              </a:ext>
            </a:extLst>
          </xdr:cNvPr>
          <xdr:cNvGrpSpPr/>
        </xdr:nvGrpSpPr>
        <xdr:grpSpPr>
          <a:xfrm>
            <a:off x="9475304" y="3470413"/>
            <a:ext cx="339586" cy="737152"/>
            <a:chOff x="10585174" y="3462131"/>
            <a:chExt cx="339586" cy="737152"/>
          </a:xfrm>
        </xdr:grpSpPr>
        <xdr:sp macro="" textlink="">
          <xdr:nvSpPr>
            <xdr:cNvPr id="34" name="사각형: 둥근 위쪽 모서리 33" hidden="1">
              <a:extLst>
                <a:ext uri="{FF2B5EF4-FFF2-40B4-BE49-F238E27FC236}">
                  <a16:creationId xmlns:a16="http://schemas.microsoft.com/office/drawing/2014/main" id="{85BE091B-AC6D-B088-6D7D-C81CE851B5E2}"/>
                </a:ext>
              </a:extLst>
            </xdr:cNvPr>
            <xdr:cNvSpPr/>
          </xdr:nvSpPr>
          <xdr:spPr>
            <a:xfrm>
              <a:off x="10585174" y="3462131"/>
              <a:ext cx="132522" cy="737152"/>
            </a:xfrm>
            <a:prstGeom prst="round2SameRect">
              <a:avLst>
                <a:gd name="adj1" fmla="val 50000"/>
                <a:gd name="adj2" fmla="val 50000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35" name="타원 34" hidden="1">
              <a:extLst>
                <a:ext uri="{FF2B5EF4-FFF2-40B4-BE49-F238E27FC236}">
                  <a16:creationId xmlns:a16="http://schemas.microsoft.com/office/drawing/2014/main" id="{942F32EC-E0E8-8D36-3B53-39129B9E102D}"/>
                </a:ext>
              </a:extLst>
            </xdr:cNvPr>
            <xdr:cNvSpPr/>
          </xdr:nvSpPr>
          <xdr:spPr>
            <a:xfrm>
              <a:off x="10612958" y="3929270"/>
              <a:ext cx="75296" cy="91108"/>
            </a:xfrm>
            <a:prstGeom prst="ellipse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36" name="직사각형 35" hidden="1">
              <a:extLst>
                <a:ext uri="{FF2B5EF4-FFF2-40B4-BE49-F238E27FC236}">
                  <a16:creationId xmlns:a16="http://schemas.microsoft.com/office/drawing/2014/main" id="{AA4FF3D9-0E00-339E-3257-D40A40A35CB3}"/>
                </a:ext>
              </a:extLst>
            </xdr:cNvPr>
            <xdr:cNvSpPr/>
          </xdr:nvSpPr>
          <xdr:spPr>
            <a:xfrm>
              <a:off x="10626587" y="3668865"/>
              <a:ext cx="298173" cy="45719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37" name="직사각형 36" hidden="1">
              <a:extLst>
                <a:ext uri="{FF2B5EF4-FFF2-40B4-BE49-F238E27FC236}">
                  <a16:creationId xmlns:a16="http://schemas.microsoft.com/office/drawing/2014/main" id="{BBB1D79B-7F9A-7084-A651-961BE9AFF9A0}"/>
                </a:ext>
              </a:extLst>
            </xdr:cNvPr>
            <xdr:cNvSpPr/>
          </xdr:nvSpPr>
          <xdr:spPr>
            <a:xfrm rot="5400000">
              <a:off x="10609503" y="4043363"/>
              <a:ext cx="73926" cy="31227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sp macro="" textlink="">
        <xdr:nvSpPr>
          <xdr:cNvPr id="11" name="타원 10" hidden="1">
            <a:extLst>
              <a:ext uri="{FF2B5EF4-FFF2-40B4-BE49-F238E27FC236}">
                <a16:creationId xmlns:a16="http://schemas.microsoft.com/office/drawing/2014/main" id="{7FCC49C4-8C95-7DE2-C3BF-78E3BCF6BB77}"/>
              </a:ext>
            </a:extLst>
          </xdr:cNvPr>
          <xdr:cNvSpPr/>
        </xdr:nvSpPr>
        <xdr:spPr>
          <a:xfrm>
            <a:off x="9500152" y="3644349"/>
            <a:ext cx="91109" cy="91108"/>
          </a:xfrm>
          <a:prstGeom prst="ellipse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139598</xdr:colOff>
      <xdr:row>13</xdr:row>
      <xdr:rowOff>103908</xdr:rowOff>
    </xdr:from>
    <xdr:to>
      <xdr:col>12</xdr:col>
      <xdr:colOff>49325</xdr:colOff>
      <xdr:row>17</xdr:row>
      <xdr:rowOff>6272</xdr:rowOff>
    </xdr:to>
    <xdr:grpSp>
      <xdr:nvGrpSpPr>
        <xdr:cNvPr id="38" name="우경첩레바키">
          <a:extLst>
            <a:ext uri="{FF2B5EF4-FFF2-40B4-BE49-F238E27FC236}">
              <a16:creationId xmlns:a16="http://schemas.microsoft.com/office/drawing/2014/main" id="{9D430FAE-880E-499F-BC51-9AC59339137C}"/>
            </a:ext>
          </a:extLst>
        </xdr:cNvPr>
        <xdr:cNvGrpSpPr/>
      </xdr:nvGrpSpPr>
      <xdr:grpSpPr>
        <a:xfrm>
          <a:off x="6534955" y="4499015"/>
          <a:ext cx="372370" cy="1099793"/>
          <a:chOff x="9475304" y="3470413"/>
          <a:chExt cx="339586" cy="737152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54305233-64AA-DCA0-0DE5-673846ACE4A7}"/>
              </a:ext>
            </a:extLst>
          </xdr:cNvPr>
          <xdr:cNvGrpSpPr/>
        </xdr:nvGrpSpPr>
        <xdr:grpSpPr>
          <a:xfrm>
            <a:off x="9475304" y="3470413"/>
            <a:ext cx="339586" cy="737152"/>
            <a:chOff x="10585174" y="3462131"/>
            <a:chExt cx="339586" cy="737152"/>
          </a:xfrm>
        </xdr:grpSpPr>
        <xdr:sp macro="" textlink="">
          <xdr:nvSpPr>
            <xdr:cNvPr id="41" name="사각형: 둥근 위쪽 모서리 40">
              <a:extLst>
                <a:ext uri="{FF2B5EF4-FFF2-40B4-BE49-F238E27FC236}">
                  <a16:creationId xmlns:a16="http://schemas.microsoft.com/office/drawing/2014/main" id="{2D014623-A904-B540-D763-E8D464C94BF3}"/>
                </a:ext>
              </a:extLst>
            </xdr:cNvPr>
            <xdr:cNvSpPr/>
          </xdr:nvSpPr>
          <xdr:spPr>
            <a:xfrm>
              <a:off x="10585174" y="3462131"/>
              <a:ext cx="132522" cy="737152"/>
            </a:xfrm>
            <a:prstGeom prst="round2SameRect">
              <a:avLst>
                <a:gd name="adj1" fmla="val 50000"/>
                <a:gd name="adj2" fmla="val 50000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42" name="타원 41">
              <a:extLst>
                <a:ext uri="{FF2B5EF4-FFF2-40B4-BE49-F238E27FC236}">
                  <a16:creationId xmlns:a16="http://schemas.microsoft.com/office/drawing/2014/main" id="{B65F883B-0A8E-355C-FE9C-D9F8A8408C81}"/>
                </a:ext>
              </a:extLst>
            </xdr:cNvPr>
            <xdr:cNvSpPr/>
          </xdr:nvSpPr>
          <xdr:spPr>
            <a:xfrm>
              <a:off x="10612958" y="3929270"/>
              <a:ext cx="75296" cy="91108"/>
            </a:xfrm>
            <a:prstGeom prst="ellipse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43" name="직사각형 42">
              <a:extLst>
                <a:ext uri="{FF2B5EF4-FFF2-40B4-BE49-F238E27FC236}">
                  <a16:creationId xmlns:a16="http://schemas.microsoft.com/office/drawing/2014/main" id="{DE77A703-AF83-4FA8-2EEB-42FB1C8B647B}"/>
                </a:ext>
              </a:extLst>
            </xdr:cNvPr>
            <xdr:cNvSpPr/>
          </xdr:nvSpPr>
          <xdr:spPr>
            <a:xfrm>
              <a:off x="10626587" y="3668865"/>
              <a:ext cx="298173" cy="45719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44" name="직사각형 43">
              <a:extLst>
                <a:ext uri="{FF2B5EF4-FFF2-40B4-BE49-F238E27FC236}">
                  <a16:creationId xmlns:a16="http://schemas.microsoft.com/office/drawing/2014/main" id="{C61179E8-291C-1F38-D2CD-4455A0CD97F8}"/>
                </a:ext>
              </a:extLst>
            </xdr:cNvPr>
            <xdr:cNvSpPr/>
          </xdr:nvSpPr>
          <xdr:spPr>
            <a:xfrm rot="5400000">
              <a:off x="10609503" y="4043363"/>
              <a:ext cx="73926" cy="31227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sp macro="" textlink="">
        <xdr:nvSpPr>
          <xdr:cNvPr id="40" name="타원 39">
            <a:extLst>
              <a:ext uri="{FF2B5EF4-FFF2-40B4-BE49-F238E27FC236}">
                <a16:creationId xmlns:a16="http://schemas.microsoft.com/office/drawing/2014/main" id="{C14643CC-7987-C3E8-D13D-30FC8BCD974E}"/>
              </a:ext>
            </a:extLst>
          </xdr:cNvPr>
          <xdr:cNvSpPr/>
        </xdr:nvSpPr>
        <xdr:spPr>
          <a:xfrm>
            <a:off x="9500152" y="3644349"/>
            <a:ext cx="91109" cy="91108"/>
          </a:xfrm>
          <a:prstGeom prst="ellipse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16</xdr:col>
      <xdr:colOff>81643</xdr:colOff>
      <xdr:row>0</xdr:row>
      <xdr:rowOff>263071</xdr:rowOff>
    </xdr:from>
    <xdr:to>
      <xdr:col>23</xdr:col>
      <xdr:colOff>197350</xdr:colOff>
      <xdr:row>1</xdr:row>
      <xdr:rowOff>386869</xdr:rowOff>
    </xdr:to>
    <xdr:pic>
      <xdr:nvPicPr>
        <xdr:cNvPr id="45" name="_x21908488">
          <a:extLst>
            <a:ext uri="{FF2B5EF4-FFF2-40B4-BE49-F238E27FC236}">
              <a16:creationId xmlns:a16="http://schemas.microsoft.com/office/drawing/2014/main" id="{A62620CC-AE6A-4BDF-9D9C-E86F39244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7572" y="263071"/>
          <a:ext cx="1521778" cy="5229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18628</xdr:colOff>
      <xdr:row>107</xdr:row>
      <xdr:rowOff>606574</xdr:rowOff>
    </xdr:from>
    <xdr:to>
      <xdr:col>1</xdr:col>
      <xdr:colOff>1450624</xdr:colOff>
      <xdr:row>108</xdr:row>
      <xdr:rowOff>941347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489AFE7-374B-41A0-B8DE-190D93C9881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0010" y="184674398"/>
          <a:ext cx="1431996" cy="1982036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11206</xdr:colOff>
      <xdr:row>1</xdr:row>
      <xdr:rowOff>11206</xdr:rowOff>
    </xdr:from>
    <xdr:to>
      <xdr:col>4</xdr:col>
      <xdr:colOff>2169377</xdr:colOff>
      <xdr:row>1</xdr:row>
      <xdr:rowOff>1949902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B7F7E5D-D744-4037-B3DE-BEB2853B7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40941" y="616324"/>
          <a:ext cx="2158171" cy="1938696"/>
        </a:xfrm>
        <a:prstGeom prst="rect">
          <a:avLst/>
        </a:prstGeom>
      </xdr:spPr>
    </xdr:pic>
    <xdr:clientData/>
  </xdr:twoCellAnchor>
  <xdr:twoCellAnchor editAs="oneCell">
    <xdr:from>
      <xdr:col>4</xdr:col>
      <xdr:colOff>1053353</xdr:colOff>
      <xdr:row>2</xdr:row>
      <xdr:rowOff>16378</xdr:rowOff>
    </xdr:from>
    <xdr:to>
      <xdr:col>4</xdr:col>
      <xdr:colOff>3211524</xdr:colOff>
      <xdr:row>2</xdr:row>
      <xdr:rowOff>1955999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FDC053F-5D47-4AB1-938B-9CF1F0EB6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3088" y="2683378"/>
          <a:ext cx="2158171" cy="1939621"/>
        </a:xfrm>
        <a:prstGeom prst="rect">
          <a:avLst/>
        </a:prstGeom>
      </xdr:spPr>
    </xdr:pic>
    <xdr:clientData/>
  </xdr:twoCellAnchor>
  <xdr:twoCellAnchor editAs="oneCell">
    <xdr:from>
      <xdr:col>4</xdr:col>
      <xdr:colOff>11206</xdr:colOff>
      <xdr:row>3</xdr:row>
      <xdr:rowOff>11206</xdr:rowOff>
    </xdr:from>
    <xdr:to>
      <xdr:col>4</xdr:col>
      <xdr:colOff>3211883</xdr:colOff>
      <xdr:row>3</xdr:row>
      <xdr:rowOff>1809682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DAC1080D-A3C7-4C43-9C4A-4D5FFBDCF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40941" y="4740088"/>
          <a:ext cx="3200677" cy="1798476"/>
        </a:xfrm>
        <a:prstGeom prst="rect">
          <a:avLst/>
        </a:prstGeom>
      </xdr:spPr>
    </xdr:pic>
    <xdr:clientData/>
  </xdr:twoCellAnchor>
  <xdr:twoCellAnchor editAs="oneCell">
    <xdr:from>
      <xdr:col>4</xdr:col>
      <xdr:colOff>44824</xdr:colOff>
      <xdr:row>4</xdr:row>
      <xdr:rowOff>11206</xdr:rowOff>
    </xdr:from>
    <xdr:to>
      <xdr:col>5</xdr:col>
      <xdr:colOff>35510</xdr:colOff>
      <xdr:row>4</xdr:row>
      <xdr:rowOff>1809682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B1AE6017-22B8-498E-AD1E-D36D97136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4559" y="6801971"/>
          <a:ext cx="3206774" cy="1798476"/>
        </a:xfrm>
        <a:prstGeom prst="rect">
          <a:avLst/>
        </a:prstGeom>
      </xdr:spPr>
    </xdr:pic>
    <xdr:clientData/>
  </xdr:twoCellAnchor>
  <xdr:twoCellAnchor editAs="oneCell">
    <xdr:from>
      <xdr:col>4</xdr:col>
      <xdr:colOff>11206</xdr:colOff>
      <xdr:row>5</xdr:row>
      <xdr:rowOff>11206</xdr:rowOff>
    </xdr:from>
    <xdr:to>
      <xdr:col>4</xdr:col>
      <xdr:colOff>2169377</xdr:colOff>
      <xdr:row>5</xdr:row>
      <xdr:rowOff>1955999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61640166-42E3-41B3-9BB5-263D5AFD8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40941" y="8863853"/>
          <a:ext cx="2158171" cy="1944793"/>
        </a:xfrm>
        <a:prstGeom prst="rect">
          <a:avLst/>
        </a:prstGeom>
      </xdr:spPr>
    </xdr:pic>
    <xdr:clientData/>
  </xdr:twoCellAnchor>
  <xdr:twoCellAnchor editAs="oneCell">
    <xdr:from>
      <xdr:col>4</xdr:col>
      <xdr:colOff>997324</xdr:colOff>
      <xdr:row>6</xdr:row>
      <xdr:rowOff>11206</xdr:rowOff>
    </xdr:from>
    <xdr:to>
      <xdr:col>4</xdr:col>
      <xdr:colOff>3149399</xdr:colOff>
      <xdr:row>6</xdr:row>
      <xdr:rowOff>1955999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E0284FA0-325A-4349-98B3-E927FF117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27059" y="10925735"/>
          <a:ext cx="2152075" cy="1944793"/>
        </a:xfrm>
        <a:prstGeom prst="rect">
          <a:avLst/>
        </a:prstGeom>
      </xdr:spPr>
    </xdr:pic>
    <xdr:clientData/>
  </xdr:twoCellAnchor>
  <xdr:twoCellAnchor editAs="oneCell">
    <xdr:from>
      <xdr:col>4</xdr:col>
      <xdr:colOff>11206</xdr:colOff>
      <xdr:row>7</xdr:row>
      <xdr:rowOff>11206</xdr:rowOff>
    </xdr:from>
    <xdr:to>
      <xdr:col>5</xdr:col>
      <xdr:colOff>1892</xdr:colOff>
      <xdr:row>7</xdr:row>
      <xdr:rowOff>1809682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573A6B4B-160A-46CF-9D74-21ED22DCC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40941" y="12987618"/>
          <a:ext cx="3206774" cy="1798476"/>
        </a:xfrm>
        <a:prstGeom prst="rect">
          <a:avLst/>
        </a:prstGeom>
      </xdr:spPr>
    </xdr:pic>
    <xdr:clientData/>
  </xdr:twoCellAnchor>
  <xdr:twoCellAnchor editAs="oneCell">
    <xdr:from>
      <xdr:col>4</xdr:col>
      <xdr:colOff>11206</xdr:colOff>
      <xdr:row>8</xdr:row>
      <xdr:rowOff>11206</xdr:rowOff>
    </xdr:from>
    <xdr:to>
      <xdr:col>5</xdr:col>
      <xdr:colOff>1892</xdr:colOff>
      <xdr:row>8</xdr:row>
      <xdr:rowOff>1809682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5E9DA8B-8E19-4E86-9D4E-FD515F7B4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40941" y="15049500"/>
          <a:ext cx="3206774" cy="1798476"/>
        </a:xfrm>
        <a:prstGeom prst="rect">
          <a:avLst/>
        </a:prstGeom>
      </xdr:spPr>
    </xdr:pic>
    <xdr:clientData/>
  </xdr:twoCellAnchor>
  <xdr:twoCellAnchor editAs="oneCell">
    <xdr:from>
      <xdr:col>4</xdr:col>
      <xdr:colOff>24011</xdr:colOff>
      <xdr:row>9</xdr:row>
      <xdr:rowOff>31217</xdr:rowOff>
    </xdr:from>
    <xdr:to>
      <xdr:col>4</xdr:col>
      <xdr:colOff>2182182</xdr:colOff>
      <xdr:row>9</xdr:row>
      <xdr:rowOff>1969913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70223BAE-BE57-4CF0-88B5-D8CC9CAE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1261" y="17067360"/>
          <a:ext cx="2158171" cy="1938696"/>
        </a:xfrm>
        <a:prstGeom prst="rect">
          <a:avLst/>
        </a:prstGeom>
      </xdr:spPr>
    </xdr:pic>
    <xdr:clientData/>
  </xdr:twoCellAnchor>
  <xdr:twoCellAnchor editAs="oneCell">
    <xdr:from>
      <xdr:col>4</xdr:col>
      <xdr:colOff>1025337</xdr:colOff>
      <xdr:row>10</xdr:row>
      <xdr:rowOff>36390</xdr:rowOff>
    </xdr:from>
    <xdr:to>
      <xdr:col>4</xdr:col>
      <xdr:colOff>3183508</xdr:colOff>
      <xdr:row>10</xdr:row>
      <xdr:rowOff>1976011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F08C2847-CDFD-4AA1-86FE-2EC7C34D9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92587" y="19127211"/>
          <a:ext cx="2158171" cy="1939621"/>
        </a:xfrm>
        <a:prstGeom prst="rect">
          <a:avLst/>
        </a:prstGeom>
      </xdr:spPr>
    </xdr:pic>
    <xdr:clientData/>
  </xdr:twoCellAnchor>
  <xdr:twoCellAnchor editAs="oneCell">
    <xdr:from>
      <xdr:col>4</xdr:col>
      <xdr:colOff>37618</xdr:colOff>
      <xdr:row>11</xdr:row>
      <xdr:rowOff>58432</xdr:rowOff>
    </xdr:from>
    <xdr:to>
      <xdr:col>4</xdr:col>
      <xdr:colOff>2195789</xdr:colOff>
      <xdr:row>11</xdr:row>
      <xdr:rowOff>2003225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35A7D2B3-78E9-4CB2-81B7-8039101CC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4868" y="21203932"/>
          <a:ext cx="2158171" cy="1944793"/>
        </a:xfrm>
        <a:prstGeom prst="rect">
          <a:avLst/>
        </a:prstGeom>
      </xdr:spPr>
    </xdr:pic>
    <xdr:clientData/>
  </xdr:twoCellAnchor>
  <xdr:twoCellAnchor editAs="oneCell">
    <xdr:from>
      <xdr:col>4</xdr:col>
      <xdr:colOff>1023737</xdr:colOff>
      <xdr:row>12</xdr:row>
      <xdr:rowOff>85646</xdr:rowOff>
    </xdr:from>
    <xdr:to>
      <xdr:col>4</xdr:col>
      <xdr:colOff>3175812</xdr:colOff>
      <xdr:row>12</xdr:row>
      <xdr:rowOff>2030439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A4D22E77-271E-4045-B757-1CA8646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90987" y="23285825"/>
          <a:ext cx="2152075" cy="1944793"/>
        </a:xfrm>
        <a:prstGeom prst="rect">
          <a:avLst/>
        </a:prstGeom>
      </xdr:spPr>
    </xdr:pic>
    <xdr:clientData/>
  </xdr:twoCellAnchor>
  <xdr:twoCellAnchor editAs="oneCell">
    <xdr:from>
      <xdr:col>1</xdr:col>
      <xdr:colOff>609601</xdr:colOff>
      <xdr:row>11</xdr:row>
      <xdr:rowOff>676275</xdr:rowOff>
    </xdr:from>
    <xdr:to>
      <xdr:col>1</xdr:col>
      <xdr:colOff>1066800</xdr:colOff>
      <xdr:row>11</xdr:row>
      <xdr:rowOff>1390650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415BE6B3-1374-4E58-BAB8-939F8F17D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1031" b="90034" l="9561" r="89406">
                      <a14:foregroundMark x1="23514" y1="1031" x2="23514" y2="1031"/>
                      <a14:foregroundMark x1="33075" y1="90034" x2="33075" y2="90034"/>
                      <a14:backgroundMark x1="29199" y1="5670" x2="42119" y2="5326"/>
                      <a14:backgroundMark x1="26873" y1="2234" x2="27132" y2="4124"/>
                      <a14:backgroundMark x1="23514" y1="1375" x2="26098" y2="93299"/>
                      <a14:backgroundMark x1="25840" y1="27835" x2="25581" y2="24055"/>
                      <a14:backgroundMark x1="25840" y1="9794" x2="26615" y2="70103"/>
                      <a14:backgroundMark x1="44186" y1="63746" x2="43669" y2="90550"/>
                      <a14:backgroundMark x1="43669" y1="60137" x2="45220" y2="90378"/>
                      <a14:backgroundMark x1="83204" y1="82646" x2="83204" y2="82646"/>
                      <a14:backgroundMark x1="42894" y1="60309" x2="49354" y2="60309"/>
                      <a14:backgroundMark x1="44186" y1="60137" x2="48320" y2="60481"/>
                      <a14:backgroundMark x1="44186" y1="58763" x2="44444" y2="61684"/>
                      <a14:backgroundMark x1="44444" y1="58419" x2="45995" y2="60481"/>
                      <a14:backgroundMark x1="42377" y1="58935" x2="47287" y2="5859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86026" y="21850350"/>
          <a:ext cx="457199" cy="714375"/>
        </a:xfrm>
        <a:prstGeom prst="rect">
          <a:avLst/>
        </a:prstGeom>
      </xdr:spPr>
    </xdr:pic>
    <xdr:clientData/>
  </xdr:twoCellAnchor>
  <xdr:twoCellAnchor>
    <xdr:from>
      <xdr:col>9</xdr:col>
      <xdr:colOff>324966</xdr:colOff>
      <xdr:row>5</xdr:row>
      <xdr:rowOff>521804</xdr:rowOff>
    </xdr:from>
    <xdr:to>
      <xdr:col>9</xdr:col>
      <xdr:colOff>728376</xdr:colOff>
      <xdr:row>5</xdr:row>
      <xdr:rowOff>1199029</xdr:rowOff>
    </xdr:to>
    <xdr:grpSp>
      <xdr:nvGrpSpPr>
        <xdr:cNvPr id="71" name="그룹 70">
          <a:extLst>
            <a:ext uri="{FF2B5EF4-FFF2-40B4-BE49-F238E27FC236}">
              <a16:creationId xmlns:a16="http://schemas.microsoft.com/office/drawing/2014/main" id="{A71A42AE-3CC5-E524-BE74-685CC4E03761}"/>
            </a:ext>
          </a:extLst>
        </xdr:cNvPr>
        <xdr:cNvGrpSpPr/>
      </xdr:nvGrpSpPr>
      <xdr:grpSpPr>
        <a:xfrm>
          <a:off x="9126066" y="9351479"/>
          <a:ext cx="403410" cy="677225"/>
          <a:chOff x="9057746" y="9343926"/>
          <a:chExt cx="107388" cy="281768"/>
        </a:xfrm>
        <a:solidFill>
          <a:schemeClr val="bg2"/>
        </a:solidFill>
      </xdr:grpSpPr>
      <xdr:sp macro="" textlink="">
        <xdr:nvSpPr>
          <xdr:cNvPr id="68" name="순서도: 처리 67">
            <a:extLst>
              <a:ext uri="{FF2B5EF4-FFF2-40B4-BE49-F238E27FC236}">
                <a16:creationId xmlns:a16="http://schemas.microsoft.com/office/drawing/2014/main" id="{0A7139B3-E85A-EDFE-9146-20F769E03C69}"/>
              </a:ext>
            </a:extLst>
          </xdr:cNvPr>
          <xdr:cNvSpPr/>
        </xdr:nvSpPr>
        <xdr:spPr>
          <a:xfrm>
            <a:off x="9119415" y="9343926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9" name="순서도: 처리 68">
            <a:extLst>
              <a:ext uri="{FF2B5EF4-FFF2-40B4-BE49-F238E27FC236}">
                <a16:creationId xmlns:a16="http://schemas.microsoft.com/office/drawing/2014/main" id="{CF53AE43-1A8F-42C4-A9B7-4112B5E271A8}"/>
              </a:ext>
            </a:extLst>
          </xdr:cNvPr>
          <xdr:cNvSpPr/>
        </xdr:nvSpPr>
        <xdr:spPr>
          <a:xfrm>
            <a:off x="9118777" y="9522980"/>
            <a:ext cx="45719" cy="102714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70" name="순서도: 처리 69">
            <a:extLst>
              <a:ext uri="{FF2B5EF4-FFF2-40B4-BE49-F238E27FC236}">
                <a16:creationId xmlns:a16="http://schemas.microsoft.com/office/drawing/2014/main" id="{DD0B2831-D681-4B02-93CE-BD8225B3ED44}"/>
              </a:ext>
            </a:extLst>
          </xdr:cNvPr>
          <xdr:cNvSpPr/>
        </xdr:nvSpPr>
        <xdr:spPr>
          <a:xfrm rot="5400000">
            <a:off x="9051833" y="9454194"/>
            <a:ext cx="74843" cy="63018"/>
          </a:xfrm>
          <a:prstGeom prst="flowChartProcess">
            <a:avLst/>
          </a:prstGeom>
          <a:grpFill/>
          <a:ln w="254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plus-st/Documents/&#52852;&#52852;&#50724;&#53665;%20&#48155;&#51008;%20&#54028;&#51068;/&#48708;&#45800;&#50676;%20&#49884;&#49828;&#53596;&#46020;&#50612;%20&#51089;&#50629;&#51648;&#49884;&#49436;(251111).xlsx" TargetMode="External"/><Relationship Id="rId1" Type="http://schemas.openxmlformats.org/officeDocument/2006/relationships/externalLinkPath" Target="/Users/plus-st/Documents/&#52852;&#52852;&#50724;&#53665;%20&#48155;&#51008;%20&#54028;&#51068;/&#48708;&#45800;&#50676;%20&#49884;&#49828;&#53596;&#46020;&#50612;%20&#51089;&#50629;&#51648;&#49884;&#49436;(25111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7004-075A-4B3E-B56E-559028124FCA}">
  <sheetPr codeName="Sheet1"/>
  <dimension ref="A1:AU153"/>
  <sheetViews>
    <sheetView showGridLines="0" tabSelected="1" view="pageBreakPreview" zoomScale="70" zoomScaleNormal="70" zoomScaleSheetLayoutView="70" workbookViewId="0">
      <selection activeCell="H26" sqref="H26:X26"/>
    </sheetView>
  </sheetViews>
  <sheetFormatPr defaultColWidth="8.88671875" defaultRowHeight="25.5" customHeight="1" outlineLevelCol="1" x14ac:dyDescent="0.15"/>
  <cols>
    <col min="1" max="1" width="12" style="21" customWidth="1"/>
    <col min="2" max="2" width="9.6640625" style="1" customWidth="1"/>
    <col min="3" max="3" width="8.21875" style="1" customWidth="1"/>
    <col min="4" max="4" width="8.77734375" style="1" customWidth="1"/>
    <col min="5" max="5" width="9.88671875" style="1" customWidth="1"/>
    <col min="6" max="6" width="17.44140625" style="1" customWidth="1"/>
    <col min="7" max="7" width="1.21875" style="1" hidden="1" customWidth="1"/>
    <col min="8" max="9" width="2.6640625" style="22" customWidth="1"/>
    <col min="10" max="12" width="2.6640625" style="1" customWidth="1"/>
    <col min="13" max="13" width="3.88671875" style="1" customWidth="1"/>
    <col min="14" max="16" width="2.6640625" style="1" customWidth="1"/>
    <col min="17" max="17" width="2.44140625" style="1" customWidth="1"/>
    <col min="18" max="22" width="2.6640625" style="1" customWidth="1"/>
    <col min="23" max="24" width="2.88671875" style="1" customWidth="1"/>
    <col min="25" max="25" width="3.44140625" style="1" customWidth="1"/>
    <col min="26" max="26" width="6" style="1" customWidth="1"/>
    <col min="27" max="29" width="7.44140625" style="1" customWidth="1"/>
    <col min="30" max="30" width="9.33203125" style="1" customWidth="1"/>
    <col min="31" max="31" width="6" style="1" customWidth="1"/>
    <col min="32" max="32" width="16.77734375" style="1" customWidth="1"/>
    <col min="33" max="33" width="18.44140625" style="1" customWidth="1"/>
    <col min="34" max="34" width="14" style="1" customWidth="1"/>
    <col min="35" max="37" width="7.44140625" style="1" customWidth="1"/>
    <col min="38" max="38" width="3.109375" style="1" hidden="1" customWidth="1" outlineLevel="1"/>
    <col min="39" max="39" width="8.88671875" style="1" hidden="1" customWidth="1" outlineLevel="1"/>
    <col min="40" max="40" width="12" style="1" hidden="1" customWidth="1" outlineLevel="1"/>
    <col min="41" max="41" width="11.33203125" style="1" hidden="1" customWidth="1" outlineLevel="1"/>
    <col min="42" max="42" width="27.33203125" style="1" hidden="1" customWidth="1" outlineLevel="1"/>
    <col min="43" max="43" width="19.44140625" style="1" hidden="1" customWidth="1" outlineLevel="1"/>
    <col min="44" max="44" width="8.88671875" style="1" hidden="1" customWidth="1" outlineLevel="1"/>
    <col min="45" max="45" width="8.88671875" style="30" collapsed="1"/>
    <col min="46" max="16384" width="8.88671875" style="30"/>
  </cols>
  <sheetData>
    <row r="1" spans="1:47" ht="31.5" customHeight="1" x14ac:dyDescent="0.15">
      <c r="A1" s="249" t="s">
        <v>132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1"/>
      <c r="Z1" s="258" t="s">
        <v>96</v>
      </c>
      <c r="AA1" s="259"/>
      <c r="AB1" s="259"/>
      <c r="AC1" s="259"/>
      <c r="AD1" s="259"/>
      <c r="AE1" s="259"/>
      <c r="AF1" s="259"/>
      <c r="AG1" s="259"/>
      <c r="AH1" s="259"/>
      <c r="AI1" s="259"/>
      <c r="AJ1" s="259"/>
      <c r="AK1" s="260"/>
    </row>
    <row r="2" spans="1:47" ht="31.5" customHeight="1" x14ac:dyDescent="0.15">
      <c r="A2" s="252"/>
      <c r="B2" s="253"/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4"/>
      <c r="Z2" s="261"/>
      <c r="AA2" s="262"/>
      <c r="AB2" s="262"/>
      <c r="AC2" s="262"/>
      <c r="AD2" s="262"/>
      <c r="AE2" s="262"/>
      <c r="AF2" s="262"/>
      <c r="AG2" s="262"/>
      <c r="AH2" s="262"/>
      <c r="AI2" s="262"/>
      <c r="AJ2" s="262"/>
      <c r="AK2" s="263"/>
      <c r="AN2" s="10"/>
      <c r="AO2" s="10"/>
      <c r="AP2" s="10"/>
      <c r="AQ2" s="10"/>
      <c r="AR2" s="10"/>
    </row>
    <row r="3" spans="1:47" ht="31.5" customHeight="1" thickBot="1" x14ac:dyDescent="0.2">
      <c r="A3" s="255"/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7"/>
      <c r="Z3" s="264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6"/>
      <c r="AN3" s="4" t="s">
        <v>88</v>
      </c>
      <c r="AO3" s="4"/>
      <c r="AP3" s="4"/>
      <c r="AQ3" s="4"/>
    </row>
    <row r="4" spans="1:47" ht="26.25" customHeight="1" x14ac:dyDescent="0.15">
      <c r="A4" s="5"/>
      <c r="B4" s="241"/>
      <c r="C4" s="241"/>
      <c r="D4" s="241"/>
      <c r="E4" s="241"/>
      <c r="F4" s="241"/>
      <c r="G4" s="83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7"/>
      <c r="Z4" s="80"/>
      <c r="AA4" s="81"/>
      <c r="AB4" s="81"/>
      <c r="AC4" s="81"/>
      <c r="AD4" s="81"/>
      <c r="AE4" s="81"/>
      <c r="AF4" s="81"/>
      <c r="AG4" s="81"/>
      <c r="AH4" s="27"/>
      <c r="AI4" s="2"/>
      <c r="AJ4" s="2"/>
      <c r="AK4" s="3"/>
      <c r="AN4" s="4" t="s">
        <v>87</v>
      </c>
      <c r="AO4" s="4"/>
      <c r="AP4" s="4"/>
      <c r="AQ4" s="4"/>
    </row>
    <row r="5" spans="1:47" ht="23.25" customHeight="1" x14ac:dyDescent="0.15">
      <c r="A5" s="242" t="s">
        <v>3</v>
      </c>
      <c r="B5" s="243">
        <f ca="1">TODAY()</f>
        <v>46178</v>
      </c>
      <c r="C5" s="243"/>
      <c r="D5" s="244"/>
      <c r="E5" s="245"/>
      <c r="F5" s="244"/>
      <c r="H5" s="268" t="str">
        <f>IF(B15&lt;750,"도어클로저 불가",B19)</f>
        <v>매립형 도어클로져 부착</v>
      </c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9"/>
      <c r="Z5" s="80"/>
      <c r="AA5" s="81"/>
      <c r="AB5" s="81"/>
      <c r="AC5" s="81"/>
      <c r="AD5" s="81"/>
      <c r="AE5" s="232" t="s">
        <v>3</v>
      </c>
      <c r="AF5" s="233"/>
      <c r="AG5" s="226">
        <v>45729</v>
      </c>
      <c r="AH5" s="227"/>
      <c r="AI5" s="227"/>
      <c r="AJ5" s="228"/>
      <c r="AK5" s="3"/>
      <c r="AN5" s="4" t="s">
        <v>89</v>
      </c>
      <c r="AO5" s="4"/>
      <c r="AP5" s="4"/>
      <c r="AQ5" s="4"/>
      <c r="AR5" s="9"/>
    </row>
    <row r="6" spans="1:47" ht="23.25" customHeight="1" x14ac:dyDescent="0.15">
      <c r="A6" s="242"/>
      <c r="B6" s="244"/>
      <c r="C6" s="244"/>
      <c r="D6" s="244"/>
      <c r="E6" s="245"/>
      <c r="F6" s="244"/>
      <c r="J6" s="34"/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8"/>
      <c r="V6" s="34"/>
      <c r="Y6" s="6"/>
      <c r="Z6" s="80"/>
      <c r="AA6" s="81"/>
      <c r="AB6" s="81"/>
      <c r="AC6" s="81"/>
      <c r="AD6" s="81"/>
      <c r="AE6" s="234"/>
      <c r="AF6" s="235"/>
      <c r="AG6" s="229"/>
      <c r="AH6" s="230"/>
      <c r="AI6" s="230"/>
      <c r="AJ6" s="231"/>
      <c r="AK6" s="3"/>
      <c r="AN6" s="4" t="s">
        <v>90</v>
      </c>
      <c r="AO6" s="4"/>
      <c r="AP6" s="4"/>
      <c r="AQ6" s="4"/>
      <c r="AR6" s="9"/>
      <c r="AU6" s="163">
        <f>IF(E15&lt;=1800,"2",IF(E15&gt;1800,"3"))+1</f>
        <v>4</v>
      </c>
    </row>
    <row r="7" spans="1:47" ht="23.25" customHeight="1" x14ac:dyDescent="0.15">
      <c r="A7" s="242" t="s">
        <v>7</v>
      </c>
      <c r="B7" s="244" t="s">
        <v>139</v>
      </c>
      <c r="C7" s="244"/>
      <c r="D7" s="244"/>
      <c r="E7" s="245"/>
      <c r="F7" s="244"/>
      <c r="J7" s="35"/>
      <c r="K7" s="36"/>
      <c r="L7" s="35"/>
      <c r="M7" s="35"/>
      <c r="N7" s="37"/>
      <c r="O7" s="37"/>
      <c r="P7" s="35"/>
      <c r="Q7" s="35"/>
      <c r="R7" s="36"/>
      <c r="S7" s="36"/>
      <c r="Y7" s="6"/>
      <c r="Z7" s="80"/>
      <c r="AA7" s="81"/>
      <c r="AB7" s="81"/>
      <c r="AC7" s="81"/>
      <c r="AD7" s="81"/>
      <c r="AE7" s="232" t="s">
        <v>7</v>
      </c>
      <c r="AF7" s="233"/>
      <c r="AG7" s="226" t="str">
        <f>B7</f>
        <v>경기광주)우드센스아르데코</v>
      </c>
      <c r="AH7" s="227"/>
      <c r="AI7" s="227"/>
      <c r="AJ7" s="228"/>
      <c r="AK7" s="3"/>
    </row>
    <row r="8" spans="1:47" ht="23.25" customHeight="1" x14ac:dyDescent="0.15">
      <c r="A8" s="242"/>
      <c r="B8" s="244"/>
      <c r="C8" s="244"/>
      <c r="D8" s="244"/>
      <c r="E8" s="245"/>
      <c r="F8" s="244"/>
      <c r="J8" s="35"/>
      <c r="K8" s="35"/>
      <c r="L8" s="35"/>
      <c r="M8" s="35"/>
      <c r="N8" s="37"/>
      <c r="O8" s="37"/>
      <c r="P8" s="35"/>
      <c r="Q8" s="270"/>
      <c r="R8" s="270"/>
      <c r="S8" s="270"/>
      <c r="T8" s="270"/>
      <c r="U8" s="270"/>
      <c r="V8" s="270"/>
      <c r="Y8" s="6"/>
      <c r="Z8" s="80"/>
      <c r="AA8" s="81"/>
      <c r="AB8" s="81"/>
      <c r="AC8" s="81"/>
      <c r="AD8" s="81"/>
      <c r="AE8" s="234"/>
      <c r="AF8" s="235"/>
      <c r="AG8" s="229"/>
      <c r="AH8" s="230"/>
      <c r="AI8" s="230"/>
      <c r="AJ8" s="231"/>
      <c r="AK8" s="3"/>
      <c r="AN8" s="28"/>
      <c r="AO8" s="28"/>
      <c r="AP8" s="10" t="str">
        <f>IF(AO9=1,"좌",IF(AO9=2,"우","양개"))</f>
        <v>우</v>
      </c>
      <c r="AQ8" s="10"/>
      <c r="AR8" s="10"/>
    </row>
    <row r="9" spans="1:47" ht="23.25" customHeight="1" x14ac:dyDescent="0.15">
      <c r="A9" s="319" t="s">
        <v>9</v>
      </c>
      <c r="B9" s="320"/>
      <c r="C9" s="212" t="s">
        <v>4</v>
      </c>
      <c r="D9" s="213"/>
      <c r="E9" s="212" t="s">
        <v>48</v>
      </c>
      <c r="F9" s="213"/>
      <c r="J9" s="35"/>
      <c r="K9" s="35"/>
      <c r="L9" s="35"/>
      <c r="M9" s="35"/>
      <c r="N9" s="37"/>
      <c r="O9" s="37"/>
      <c r="P9" s="35"/>
      <c r="Q9" s="270"/>
      <c r="R9" s="270"/>
      <c r="S9" s="270"/>
      <c r="T9" s="270"/>
      <c r="U9" s="270"/>
      <c r="V9" s="270"/>
      <c r="Y9" s="6"/>
      <c r="Z9" s="7"/>
      <c r="AE9" s="8"/>
      <c r="AK9" s="6"/>
      <c r="AN9" s="11" t="s">
        <v>1</v>
      </c>
      <c r="AO9" s="11">
        <f>IF(B17="좌경첩",1,IF(B17="우경첩",2,(IF(B17="양개 대칭",3,(IF(B17="양개 비대칭",4))))))</f>
        <v>2</v>
      </c>
      <c r="AP9" s="11" t="str">
        <f>IF(AO9=1,"좌경첩",IF(AO9=2,"우경첩","양개경첩"))</f>
        <v>우경첩</v>
      </c>
      <c r="AQ9" s="10" t="s">
        <v>2</v>
      </c>
      <c r="AR9" s="30"/>
    </row>
    <row r="10" spans="1:47" ht="23.25" customHeight="1" x14ac:dyDescent="0.15">
      <c r="A10" s="319"/>
      <c r="B10" s="320"/>
      <c r="C10" s="214"/>
      <c r="D10" s="215"/>
      <c r="E10" s="214"/>
      <c r="F10" s="215"/>
      <c r="J10" s="35"/>
      <c r="K10" s="35"/>
      <c r="L10" s="35"/>
      <c r="M10" s="35"/>
      <c r="N10" s="35"/>
      <c r="O10" s="35"/>
      <c r="P10" s="35"/>
      <c r="Q10" s="35"/>
      <c r="R10" s="270"/>
      <c r="S10" s="270"/>
      <c r="T10" s="270"/>
      <c r="U10" s="270"/>
      <c r="V10" s="270"/>
      <c r="Y10" s="6"/>
      <c r="Z10" s="7"/>
      <c r="AA10" s="8"/>
      <c r="AB10" s="8"/>
      <c r="AC10" s="8"/>
      <c r="AD10" s="8"/>
      <c r="AE10" s="236" t="s">
        <v>0</v>
      </c>
      <c r="AF10" s="236"/>
      <c r="AG10" s="236"/>
      <c r="AH10" s="236" t="s">
        <v>4</v>
      </c>
      <c r="AI10" s="236"/>
      <c r="AJ10" s="236"/>
      <c r="AK10" s="6"/>
      <c r="AN10" s="11" t="s">
        <v>10</v>
      </c>
      <c r="AO10" s="11">
        <f>IF(B19="매립형 도어클로져 부착",1,IF(B19="없음",2))</f>
        <v>1</v>
      </c>
      <c r="AP10" s="29" t="s">
        <v>50</v>
      </c>
      <c r="AQ10" s="57" t="s">
        <v>126</v>
      </c>
      <c r="AR10" s="30"/>
    </row>
    <row r="11" spans="1:47" ht="30" customHeight="1" x14ac:dyDescent="0.15">
      <c r="A11" s="177" t="s">
        <v>88</v>
      </c>
      <c r="B11" s="178"/>
      <c r="C11" s="198">
        <v>43</v>
      </c>
      <c r="D11" s="199"/>
      <c r="E11" s="202" t="s">
        <v>125</v>
      </c>
      <c r="F11" s="203"/>
      <c r="J11" s="35"/>
      <c r="K11" s="35"/>
      <c r="L11" s="35"/>
      <c r="M11" s="35"/>
      <c r="N11" s="35"/>
      <c r="O11" s="35"/>
      <c r="P11" s="35"/>
      <c r="Q11" s="35"/>
      <c r="R11" s="270"/>
      <c r="S11" s="270"/>
      <c r="T11" s="270"/>
      <c r="U11" s="270"/>
      <c r="V11" s="270"/>
      <c r="Y11" s="6"/>
      <c r="Z11" s="7"/>
      <c r="AA11" s="8"/>
      <c r="AB11" s="8"/>
      <c r="AC11" s="8"/>
      <c r="AD11" s="8"/>
      <c r="AE11" s="236"/>
      <c r="AF11" s="236"/>
      <c r="AG11" s="236"/>
      <c r="AH11" s="236"/>
      <c r="AI11" s="236"/>
      <c r="AJ11" s="236"/>
      <c r="AK11" s="6"/>
      <c r="AN11" s="11" t="s">
        <v>16</v>
      </c>
      <c r="AO11" s="11">
        <f>IF(B21="기본",1,IF(B21="없음",2,(IF(B21="하부낮은턱",3))))</f>
        <v>1</v>
      </c>
      <c r="AP11" s="29" t="s">
        <v>51</v>
      </c>
      <c r="AQ11" s="10" t="s">
        <v>49</v>
      </c>
      <c r="AR11" s="30"/>
    </row>
    <row r="12" spans="1:47" ht="30.75" customHeight="1" x14ac:dyDescent="0.15">
      <c r="A12" s="179"/>
      <c r="B12" s="180"/>
      <c r="C12" s="200"/>
      <c r="D12" s="201"/>
      <c r="E12" s="204"/>
      <c r="F12" s="205"/>
      <c r="G12" s="12"/>
      <c r="J12" s="35"/>
      <c r="K12" s="35"/>
      <c r="L12" s="35"/>
      <c r="M12" s="35"/>
      <c r="N12" s="35"/>
      <c r="O12" s="35"/>
      <c r="P12" s="35"/>
      <c r="Q12" s="35"/>
      <c r="R12" s="270"/>
      <c r="S12" s="270"/>
      <c r="T12" s="270"/>
      <c r="U12" s="270"/>
      <c r="V12" s="270"/>
      <c r="Y12" s="6"/>
      <c r="Z12" s="7"/>
      <c r="AA12" s="8"/>
      <c r="AB12" s="8"/>
      <c r="AC12" s="8"/>
      <c r="AD12" s="8"/>
      <c r="AE12" s="216" t="s">
        <v>88</v>
      </c>
      <c r="AF12" s="216"/>
      <c r="AG12" s="216"/>
      <c r="AH12" s="176">
        <f>C11</f>
        <v>43</v>
      </c>
      <c r="AI12" s="176"/>
      <c r="AJ12" s="176"/>
      <c r="AK12" s="6"/>
      <c r="AL12" s="12"/>
      <c r="AN12" s="11" t="s">
        <v>48</v>
      </c>
      <c r="AO12" s="11">
        <f>IF(E11="밖으로 당기는문",1,IF(E11="안으로 미는문",2))</f>
        <v>1</v>
      </c>
      <c r="AP12" s="29" t="str">
        <f>IF(AO12=1,"out",IF(AO12=2,"in"))</f>
        <v>out</v>
      </c>
      <c r="AR12" s="30"/>
    </row>
    <row r="13" spans="1:47" ht="23.25" customHeight="1" x14ac:dyDescent="0.15">
      <c r="A13" s="210" t="s">
        <v>19</v>
      </c>
      <c r="B13" s="277" t="s">
        <v>91</v>
      </c>
      <c r="C13" s="212"/>
      <c r="D13" s="212"/>
      <c r="E13" s="212" t="s">
        <v>20</v>
      </c>
      <c r="F13" s="213"/>
      <c r="G13" s="12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X13" s="38"/>
      <c r="Y13" s="6"/>
      <c r="Z13" s="7"/>
      <c r="AA13" s="8"/>
      <c r="AB13" s="8"/>
      <c r="AC13" s="8"/>
      <c r="AD13" s="8"/>
      <c r="AE13" s="216"/>
      <c r="AF13" s="216"/>
      <c r="AG13" s="216"/>
      <c r="AH13" s="176"/>
      <c r="AI13" s="176"/>
      <c r="AJ13" s="176"/>
      <c r="AK13" s="6"/>
      <c r="AL13" s="12"/>
      <c r="AN13" s="11" t="s">
        <v>115</v>
      </c>
      <c r="AO13" s="11" t="str">
        <f>IF(B20="추가부착",IF(E15&lt;=1800,"2",IF(E15&gt;1800,"3"))+1,IF(E15&lt;=1800,"2",IF(E15&gt;1800,"3","")))</f>
        <v>3</v>
      </c>
      <c r="AP13" s="11" t="str">
        <f>AP9&amp;AO13&amp;"개"</f>
        <v>우경첩3개</v>
      </c>
      <c r="AR13" s="30"/>
    </row>
    <row r="14" spans="1:47" ht="23.25" customHeight="1" x14ac:dyDescent="0.15">
      <c r="A14" s="211"/>
      <c r="B14" s="278"/>
      <c r="C14" s="214"/>
      <c r="D14" s="214"/>
      <c r="E14" s="214"/>
      <c r="F14" s="215"/>
      <c r="G14" s="12"/>
      <c r="I14" s="39"/>
      <c r="J14" s="40"/>
      <c r="K14" s="13"/>
      <c r="L14" s="13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8"/>
      <c r="X14" s="13"/>
      <c r="Y14" s="6"/>
      <c r="Z14" s="7"/>
      <c r="AE14" s="216">
        <v>1</v>
      </c>
      <c r="AF14" s="208" t="s">
        <v>12</v>
      </c>
      <c r="AG14" s="63" t="s">
        <v>13</v>
      </c>
      <c r="AH14" s="63" t="s">
        <v>14</v>
      </c>
      <c r="AI14" s="187" t="s">
        <v>15</v>
      </c>
      <c r="AJ14" s="188"/>
      <c r="AK14" s="6"/>
      <c r="AN14" s="267"/>
      <c r="AO14" s="11"/>
      <c r="AP14" s="11"/>
      <c r="AQ14" s="10"/>
      <c r="AR14" s="10"/>
    </row>
    <row r="15" spans="1:47" ht="23.25" customHeight="1" x14ac:dyDescent="0.15">
      <c r="A15" s="211"/>
      <c r="B15" s="282">
        <v>900</v>
      </c>
      <c r="C15" s="283"/>
      <c r="D15" s="283"/>
      <c r="E15" s="286">
        <v>2140</v>
      </c>
      <c r="F15" s="287"/>
      <c r="G15" s="12"/>
      <c r="I15" s="13"/>
      <c r="J15" s="41"/>
      <c r="K15" s="13"/>
      <c r="L15" s="13"/>
      <c r="M15" s="35"/>
      <c r="N15" s="42"/>
      <c r="O15" s="42"/>
      <c r="P15" s="35"/>
      <c r="Q15" s="35"/>
      <c r="R15" s="35"/>
      <c r="S15" s="35"/>
      <c r="T15" s="35"/>
      <c r="U15" s="35"/>
      <c r="V15" s="35"/>
      <c r="W15" s="13"/>
      <c r="X15" s="38"/>
      <c r="Y15" s="6"/>
      <c r="Z15" s="7"/>
      <c r="AE15" s="216"/>
      <c r="AF15" s="208"/>
      <c r="AG15" s="184">
        <v>1000</v>
      </c>
      <c r="AH15" s="181">
        <v>500</v>
      </c>
      <c r="AI15" s="189">
        <f ca="1">OFFSET(AN23,MATCH(C11,AN24:AN32,0),1,1,1)</f>
        <v>500</v>
      </c>
      <c r="AJ15" s="190"/>
      <c r="AK15" s="6"/>
      <c r="AN15" s="267"/>
      <c r="AO15" s="11"/>
      <c r="AP15" s="11"/>
      <c r="AQ15" s="14"/>
      <c r="AR15" s="10"/>
      <c r="AT15" s="165"/>
    </row>
    <row r="16" spans="1:47" ht="23.25" customHeight="1" x14ac:dyDescent="0.15">
      <c r="A16" s="211"/>
      <c r="B16" s="284"/>
      <c r="C16" s="285"/>
      <c r="D16" s="285"/>
      <c r="E16" s="288"/>
      <c r="F16" s="289"/>
      <c r="G16" s="12"/>
      <c r="H16" s="13"/>
      <c r="I16" s="1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13"/>
      <c r="X16" s="13"/>
      <c r="Y16" s="6"/>
      <c r="Z16" s="7"/>
      <c r="AE16" s="216"/>
      <c r="AF16" s="208"/>
      <c r="AG16" s="185"/>
      <c r="AH16" s="182"/>
      <c r="AI16" s="191"/>
      <c r="AJ16" s="192"/>
      <c r="AK16" s="6"/>
      <c r="AN16" s="32" t="s">
        <v>54</v>
      </c>
      <c r="AO16" s="33" t="str">
        <f>IF(OR(AO9=1,AO9=2),"0",E17)</f>
        <v>0</v>
      </c>
      <c r="AP16" s="32"/>
      <c r="AQ16" s="14"/>
      <c r="AR16" s="10"/>
    </row>
    <row r="17" spans="1:47" ht="23.25" customHeight="1" x14ac:dyDescent="0.15">
      <c r="A17" s="211" t="s">
        <v>1</v>
      </c>
      <c r="B17" s="271" t="s">
        <v>140</v>
      </c>
      <c r="C17" s="272"/>
      <c r="D17" s="275" t="s">
        <v>23</v>
      </c>
      <c r="E17" s="217" t="s">
        <v>127</v>
      </c>
      <c r="F17" s="209">
        <v>1100</v>
      </c>
      <c r="G17" s="12"/>
      <c r="H17" s="13"/>
      <c r="I17" s="13"/>
      <c r="J17" s="44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13"/>
      <c r="X17" s="13"/>
      <c r="Y17" s="6"/>
      <c r="Z17" s="7"/>
      <c r="AE17" s="216"/>
      <c r="AF17" s="208"/>
      <c r="AG17" s="186"/>
      <c r="AH17" s="183"/>
      <c r="AI17" s="193"/>
      <c r="AJ17" s="194"/>
      <c r="AK17" s="6"/>
      <c r="AN17" s="22" t="s">
        <v>55</v>
      </c>
      <c r="AO17" s="22" t="str">
        <f>F19</f>
        <v>레바키</v>
      </c>
      <c r="AP17" s="15" t="str">
        <f>AP9&amp;AO16&amp;AO17</f>
        <v>우경첩0레바키</v>
      </c>
      <c r="AQ17" s="16"/>
    </row>
    <row r="18" spans="1:47" ht="23.25" customHeight="1" x14ac:dyDescent="0.15">
      <c r="A18" s="211"/>
      <c r="B18" s="273"/>
      <c r="C18" s="274"/>
      <c r="D18" s="276"/>
      <c r="E18" s="218"/>
      <c r="F18" s="209"/>
      <c r="H18" s="13"/>
      <c r="I18" s="13"/>
      <c r="J18" s="45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13"/>
      <c r="X18" s="13"/>
      <c r="Y18" s="6"/>
      <c r="Z18" s="7"/>
      <c r="AE18" s="216"/>
      <c r="AF18" s="208" t="s">
        <v>22</v>
      </c>
      <c r="AG18" s="290"/>
      <c r="AH18" s="223"/>
      <c r="AI18" s="224" t="str">
        <f ca="1">OFFSET(AN23,MATCH(C11,AN24:AN32,0),3,1,1)</f>
        <v>소</v>
      </c>
      <c r="AJ18" s="225">
        <f ca="1">OFFSET(AN23,MATCH(C11,AN24:AN32,0),2,1,1)</f>
        <v>113</v>
      </c>
      <c r="AK18" s="6"/>
      <c r="AP18" s="22" t="str">
        <f>AP8&amp;AO16&amp;AP12</f>
        <v>우0out</v>
      </c>
    </row>
    <row r="19" spans="1:47" ht="37.5" customHeight="1" x14ac:dyDescent="0.15">
      <c r="A19" s="161" t="s">
        <v>114</v>
      </c>
      <c r="B19" s="300" t="s">
        <v>116</v>
      </c>
      <c r="C19" s="300"/>
      <c r="D19" s="300"/>
      <c r="E19" s="298" t="s">
        <v>25</v>
      </c>
      <c r="F19" s="206" t="s">
        <v>119</v>
      </c>
      <c r="H19" s="13"/>
      <c r="I19" s="13"/>
      <c r="J19" s="46"/>
      <c r="K19" s="281"/>
      <c r="L19" s="281"/>
      <c r="M19" s="46"/>
      <c r="N19" s="47"/>
      <c r="O19" s="47"/>
      <c r="P19" s="47"/>
      <c r="Q19" s="47"/>
      <c r="R19" s="47"/>
      <c r="S19" s="47"/>
      <c r="T19" s="47"/>
      <c r="U19" s="47"/>
      <c r="V19" s="47"/>
      <c r="W19" s="13"/>
      <c r="X19" s="13"/>
      <c r="Y19" s="6"/>
      <c r="Z19" s="7"/>
      <c r="AE19" s="216"/>
      <c r="AF19" s="208"/>
      <c r="AG19" s="290"/>
      <c r="AH19" s="223"/>
      <c r="AI19" s="224"/>
      <c r="AJ19" s="225"/>
      <c r="AK19" s="6"/>
      <c r="AN19" s="23"/>
      <c r="AO19" s="31"/>
    </row>
    <row r="20" spans="1:47" ht="31.5" x14ac:dyDescent="0.15">
      <c r="A20" s="161" t="s">
        <v>115</v>
      </c>
      <c r="B20" s="301" t="s">
        <v>118</v>
      </c>
      <c r="C20" s="302"/>
      <c r="D20" s="162" t="str">
        <f>AO13&amp;"개"</f>
        <v>3개</v>
      </c>
      <c r="E20" s="299"/>
      <c r="F20" s="207"/>
      <c r="H20" s="13"/>
      <c r="I20" s="13"/>
      <c r="J20" s="46"/>
      <c r="K20" s="46"/>
      <c r="L20" s="46"/>
      <c r="M20" s="46"/>
      <c r="N20" s="48"/>
      <c r="O20" s="48"/>
      <c r="P20" s="49"/>
      <c r="Q20" s="49"/>
      <c r="R20" s="50"/>
      <c r="S20" s="50"/>
      <c r="T20" s="51"/>
      <c r="U20" s="51"/>
      <c r="V20" s="13"/>
      <c r="W20" s="13"/>
      <c r="X20" s="13"/>
      <c r="Y20" s="17"/>
      <c r="Z20" s="7"/>
      <c r="AE20" s="216"/>
      <c r="AF20" s="208" t="s">
        <v>24</v>
      </c>
      <c r="AG20" s="291">
        <f>AG15-110</f>
        <v>890</v>
      </c>
      <c r="AH20" s="219">
        <f>AH15-110</f>
        <v>390</v>
      </c>
      <c r="AI20" s="220"/>
      <c r="AJ20" s="220"/>
      <c r="AK20" s="6"/>
      <c r="AN20" s="31"/>
      <c r="AO20" s="31"/>
    </row>
    <row r="21" spans="1:47" ht="23.25" customHeight="1" x14ac:dyDescent="0.15">
      <c r="A21" s="211" t="s">
        <v>26</v>
      </c>
      <c r="B21" s="271" t="s">
        <v>138</v>
      </c>
      <c r="C21" s="272"/>
      <c r="D21" s="272"/>
      <c r="E21" s="292" t="s">
        <v>47</v>
      </c>
      <c r="F21" s="308">
        <v>1000</v>
      </c>
      <c r="H21" s="13"/>
      <c r="I21" s="13"/>
      <c r="J21" s="13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13"/>
      <c r="W21" s="13"/>
      <c r="X21" s="13"/>
      <c r="Y21" s="17"/>
      <c r="Z21" s="7"/>
      <c r="AE21" s="216"/>
      <c r="AF21" s="208"/>
      <c r="AG21" s="291"/>
      <c r="AH21" s="219"/>
      <c r="AI21" s="220"/>
      <c r="AJ21" s="220"/>
      <c r="AK21" s="6"/>
      <c r="AN21" s="31"/>
      <c r="AO21" s="31"/>
    </row>
    <row r="22" spans="1:47" ht="23.25" customHeight="1" x14ac:dyDescent="0.15">
      <c r="A22" s="211"/>
      <c r="B22" s="273"/>
      <c r="C22" s="274"/>
      <c r="D22" s="274"/>
      <c r="E22" s="292"/>
      <c r="F22" s="309"/>
      <c r="K22" s="52"/>
      <c r="L22" s="53"/>
      <c r="M22" s="53"/>
      <c r="N22" s="53"/>
      <c r="O22" s="53"/>
      <c r="P22" s="53"/>
      <c r="Q22" s="53"/>
      <c r="R22" s="53"/>
      <c r="S22" s="53"/>
      <c r="T22" s="53"/>
      <c r="U22" s="53"/>
      <c r="Y22" s="17"/>
      <c r="Z22" s="7"/>
      <c r="AK22" s="6"/>
      <c r="AN22" s="69" t="str">
        <f>IF(F21=1000,"손잡이기본1000","손잡이높이변경" &amp; F21)</f>
        <v>손잡이기본1000</v>
      </c>
      <c r="AO22" s="31"/>
    </row>
    <row r="23" spans="1:47" ht="23.25" customHeight="1" x14ac:dyDescent="0.15">
      <c r="A23" s="19"/>
      <c r="B23" s="197" t="s">
        <v>27</v>
      </c>
      <c r="C23" s="195"/>
      <c r="D23" s="195" t="s">
        <v>28</v>
      </c>
      <c r="E23" s="196"/>
      <c r="F23" s="20" t="s">
        <v>15</v>
      </c>
      <c r="G23" s="21"/>
      <c r="H23" s="13"/>
      <c r="L23" s="53"/>
      <c r="M23" s="53"/>
      <c r="N23" s="53"/>
      <c r="O23" s="53"/>
      <c r="P23" s="53"/>
      <c r="Q23" s="53"/>
      <c r="R23" s="53"/>
      <c r="S23" s="53"/>
      <c r="T23" s="53"/>
      <c r="U23" s="53"/>
      <c r="X23" s="13"/>
      <c r="Y23" s="6"/>
      <c r="Z23" s="7"/>
      <c r="AE23" s="293"/>
      <c r="AF23" s="208" t="s">
        <v>12</v>
      </c>
      <c r="AG23" s="139" t="s">
        <v>13</v>
      </c>
      <c r="AH23" s="139" t="s">
        <v>14</v>
      </c>
      <c r="AI23" s="237" t="s">
        <v>15</v>
      </c>
      <c r="AJ23" s="238"/>
      <c r="AK23" s="17"/>
      <c r="AN23" s="64" t="s">
        <v>83</v>
      </c>
      <c r="AO23" s="64" t="s">
        <v>81</v>
      </c>
      <c r="AP23" s="65" t="s">
        <v>82</v>
      </c>
      <c r="AQ23" s="65" t="s">
        <v>21</v>
      </c>
    </row>
    <row r="24" spans="1:47" ht="23.25" customHeight="1" x14ac:dyDescent="0.15">
      <c r="A24" s="332" t="s">
        <v>29</v>
      </c>
      <c r="B24" s="303">
        <f>IF(AO9=1,B15-100,IF(AO9=2,B15-100,IF(AO9=3,(B15-105)/2,IF(AO9=4,(B15-105)-F17))))</f>
        <v>800</v>
      </c>
      <c r="C24" s="304"/>
      <c r="D24" s="305">
        <f>IF(AO11=1,E15-100,IF(AO11=2,E15-58,IF(AO11=3,E15-62)))</f>
        <v>2040</v>
      </c>
      <c r="E24" s="306"/>
      <c r="F24" s="355">
        <f ca="1">OFFSET(AN23,MATCH(C11,AN24:AN32,0),1,1,1)</f>
        <v>500</v>
      </c>
      <c r="G24" s="21"/>
      <c r="J24" s="307"/>
      <c r="K24" s="307"/>
      <c r="L24" s="307"/>
      <c r="M24" s="307"/>
      <c r="N24" s="54"/>
      <c r="O24" s="54"/>
      <c r="P24" s="54"/>
      <c r="Q24" s="54"/>
      <c r="R24" s="54"/>
      <c r="S24" s="54"/>
      <c r="T24" s="54"/>
      <c r="U24" s="54"/>
      <c r="V24" s="54"/>
      <c r="Y24" s="6"/>
      <c r="Z24" s="7"/>
      <c r="AE24" s="294"/>
      <c r="AF24" s="208"/>
      <c r="AG24" s="184">
        <v>970</v>
      </c>
      <c r="AH24" s="181">
        <v>2170</v>
      </c>
      <c r="AI24" s="232">
        <f ca="1">AI15</f>
        <v>500</v>
      </c>
      <c r="AJ24" s="233"/>
      <c r="AK24" s="17"/>
      <c r="AN24" s="64">
        <v>24</v>
      </c>
      <c r="AO24" s="66">
        <v>500</v>
      </c>
      <c r="AP24" s="66">
        <v>113</v>
      </c>
      <c r="AQ24" s="65" t="s">
        <v>84</v>
      </c>
    </row>
    <row r="25" spans="1:47" ht="23.25" customHeight="1" x14ac:dyDescent="0.15">
      <c r="A25" s="347"/>
      <c r="B25" s="303">
        <f>IF(AO9=1,B15-100,IF(AO9=2,B15-100,IF(AO9=3,(B15-105)/2,IF(AO9=4,(B15-105)-F17))))</f>
        <v>800</v>
      </c>
      <c r="C25" s="304"/>
      <c r="D25" s="305">
        <f>IF(AO11=1,E15-100,IF(AO11=2,E15-58,IF(AO11=3,E15-62)))</f>
        <v>2040</v>
      </c>
      <c r="E25" s="306"/>
      <c r="F25" s="355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  <c r="Y25" s="6"/>
      <c r="Z25" s="18"/>
      <c r="AA25" s="13"/>
      <c r="AB25" s="13"/>
      <c r="AC25" s="13"/>
      <c r="AD25" s="13"/>
      <c r="AE25" s="294"/>
      <c r="AF25" s="208"/>
      <c r="AG25" s="185"/>
      <c r="AH25" s="182"/>
      <c r="AI25" s="239"/>
      <c r="AJ25" s="240"/>
      <c r="AK25" s="17"/>
      <c r="AN25" s="64">
        <v>26</v>
      </c>
      <c r="AO25" s="66">
        <v>300</v>
      </c>
      <c r="AP25" s="66">
        <v>113</v>
      </c>
      <c r="AQ25" s="65" t="s">
        <v>84</v>
      </c>
    </row>
    <row r="26" spans="1:47" ht="23.25" customHeight="1" x14ac:dyDescent="0.15">
      <c r="A26" s="347"/>
      <c r="B26" s="310">
        <f>F17</f>
        <v>1100</v>
      </c>
      <c r="C26" s="311"/>
      <c r="D26" s="279">
        <f>IF(AO11=1,E15-100,IF(AO11=2,E15-58,IF(AO11=3,E15-62)))</f>
        <v>2040</v>
      </c>
      <c r="E26" s="280"/>
      <c r="F26" s="355"/>
      <c r="H26" s="312" t="str">
        <f>IF($E$11="밖으로 당기는문","※물구멍타공※","")</f>
        <v>※물구멍타공※</v>
      </c>
      <c r="I26" s="312"/>
      <c r="J26" s="312"/>
      <c r="K26" s="312"/>
      <c r="L26" s="312"/>
      <c r="M26" s="312"/>
      <c r="N26" s="312"/>
      <c r="O26" s="312"/>
      <c r="P26" s="312"/>
      <c r="Q26" s="312"/>
      <c r="R26" s="312"/>
      <c r="S26" s="312"/>
      <c r="T26" s="312"/>
      <c r="U26" s="312"/>
      <c r="V26" s="312"/>
      <c r="W26" s="312"/>
      <c r="X26" s="312"/>
      <c r="Y26" s="6"/>
      <c r="Z26" s="18"/>
      <c r="AA26" s="13"/>
      <c r="AB26" s="13"/>
      <c r="AC26" s="13"/>
      <c r="AD26" s="13"/>
      <c r="AE26" s="294"/>
      <c r="AF26" s="208"/>
      <c r="AG26" s="186"/>
      <c r="AH26" s="183"/>
      <c r="AI26" s="234"/>
      <c r="AJ26" s="235"/>
      <c r="AK26" s="6"/>
      <c r="AN26" s="64">
        <v>28</v>
      </c>
      <c r="AO26" s="66">
        <v>150</v>
      </c>
      <c r="AP26" s="66">
        <v>113</v>
      </c>
      <c r="AQ26" s="65" t="s">
        <v>84</v>
      </c>
    </row>
    <row r="27" spans="1:47" ht="23.25" customHeight="1" x14ac:dyDescent="0.45">
      <c r="A27" s="332" t="s">
        <v>30</v>
      </c>
      <c r="B27" s="335">
        <f>B24-145</f>
        <v>655</v>
      </c>
      <c r="C27" s="336"/>
      <c r="D27" s="337">
        <f ca="1">IF(AND(A11="블랙",F27="대"),D24-188,IF(F27="대",D24-190,IF(F27="중",D24-190,IF(F27="소",D24-190))))</f>
        <v>1850</v>
      </c>
      <c r="E27" s="338"/>
      <c r="F27" s="58" t="str">
        <f ca="1">OFFSET(AN23,MATCH(C11,AN24:AN32,0),3,1,1)</f>
        <v>소</v>
      </c>
      <c r="Y27" s="6"/>
      <c r="Z27" s="18"/>
      <c r="AA27" s="13"/>
      <c r="AB27" s="13"/>
      <c r="AC27" s="13"/>
      <c r="AD27" s="13"/>
      <c r="AE27" s="294"/>
      <c r="AF27" s="208" t="s">
        <v>22</v>
      </c>
      <c r="AG27" s="291"/>
      <c r="AH27" s="219"/>
      <c r="AI27" s="221" t="str">
        <f ca="1">AI18</f>
        <v>소</v>
      </c>
      <c r="AJ27" s="222">
        <f ca="1">AJ18</f>
        <v>113</v>
      </c>
      <c r="AK27" s="6"/>
      <c r="AN27" s="64">
        <v>34</v>
      </c>
      <c r="AO27" s="67">
        <v>300</v>
      </c>
      <c r="AP27" s="67">
        <v>113</v>
      </c>
      <c r="AQ27" s="65" t="s">
        <v>85</v>
      </c>
      <c r="AU27" s="30">
        <v>31</v>
      </c>
    </row>
    <row r="28" spans="1:47" ht="23.25" customHeight="1" x14ac:dyDescent="0.15">
      <c r="A28" s="333"/>
      <c r="B28" s="339">
        <f>B25-145</f>
        <v>655</v>
      </c>
      <c r="C28" s="340"/>
      <c r="D28" s="341">
        <f ca="1">IF(F27="대",D25-198,IF(F27="중",D25-190,IF(F27="소",D25-190)))</f>
        <v>1850</v>
      </c>
      <c r="E28" s="342"/>
      <c r="F28" s="356">
        <f ca="1">OFFSET(AN23,MATCH(C11,AN24:AN32,0),2,1,1)</f>
        <v>113</v>
      </c>
      <c r="H28" s="55"/>
      <c r="Y28" s="6"/>
      <c r="Z28" s="7"/>
      <c r="AE28" s="294"/>
      <c r="AF28" s="208"/>
      <c r="AG28" s="291"/>
      <c r="AH28" s="219"/>
      <c r="AI28" s="221"/>
      <c r="AJ28" s="222"/>
      <c r="AK28" s="6"/>
      <c r="AN28" s="65">
        <v>35</v>
      </c>
      <c r="AO28" s="67">
        <v>300</v>
      </c>
      <c r="AP28" s="67">
        <v>305</v>
      </c>
      <c r="AQ28" s="65" t="s">
        <v>85</v>
      </c>
      <c r="AU28" s="30">
        <v>14</v>
      </c>
    </row>
    <row r="29" spans="1:47" ht="23.25" customHeight="1" x14ac:dyDescent="0.15">
      <c r="A29" s="334"/>
      <c r="B29" s="343">
        <f>B26-145</f>
        <v>955</v>
      </c>
      <c r="C29" s="344"/>
      <c r="D29" s="345">
        <f ca="1">IF(F27="대",D26-198,IF(F27="중",D26-190,IF(F27="소",D26-190)))</f>
        <v>1850</v>
      </c>
      <c r="E29" s="346"/>
      <c r="F29" s="357"/>
      <c r="Y29" s="6"/>
      <c r="Z29" s="7"/>
      <c r="AE29" s="294"/>
      <c r="AF29" s="296" t="s">
        <v>24</v>
      </c>
      <c r="AG29" s="184">
        <f>AG24-110</f>
        <v>860</v>
      </c>
      <c r="AH29" s="181">
        <f>AH24-110</f>
        <v>2060</v>
      </c>
      <c r="AI29" s="348">
        <v>27</v>
      </c>
      <c r="AJ29" s="349"/>
      <c r="AK29" s="6"/>
      <c r="AN29" s="65">
        <v>36</v>
      </c>
      <c r="AO29" s="67">
        <v>150</v>
      </c>
      <c r="AP29" s="67">
        <v>113</v>
      </c>
      <c r="AQ29" s="65" t="s">
        <v>85</v>
      </c>
      <c r="AU29" s="30">
        <v>38</v>
      </c>
    </row>
    <row r="30" spans="1:47" ht="23.25" customHeight="1" x14ac:dyDescent="0.15">
      <c r="A30" s="326" t="s">
        <v>31</v>
      </c>
      <c r="B30" s="328">
        <f>B24-160</f>
        <v>640</v>
      </c>
      <c r="C30" s="329"/>
      <c r="D30" s="330">
        <f>D24-165</f>
        <v>1875</v>
      </c>
      <c r="E30" s="331"/>
      <c r="F30" s="352">
        <f>C11</f>
        <v>43</v>
      </c>
      <c r="Y30" s="6"/>
      <c r="Z30" s="7"/>
      <c r="AE30" s="295"/>
      <c r="AF30" s="297"/>
      <c r="AG30" s="186"/>
      <c r="AH30" s="183"/>
      <c r="AI30" s="350"/>
      <c r="AJ30" s="351"/>
      <c r="AK30" s="6"/>
      <c r="AN30" s="65">
        <v>39</v>
      </c>
      <c r="AO30" s="68">
        <v>700</v>
      </c>
      <c r="AP30" s="68">
        <v>74</v>
      </c>
      <c r="AQ30" s="65" t="s">
        <v>86</v>
      </c>
    </row>
    <row r="31" spans="1:47" ht="23.25" customHeight="1" x14ac:dyDescent="0.15">
      <c r="A31" s="327"/>
      <c r="B31" s="328">
        <f>B25-160</f>
        <v>640</v>
      </c>
      <c r="C31" s="329"/>
      <c r="D31" s="330">
        <f>D24-165</f>
        <v>1875</v>
      </c>
      <c r="E31" s="331"/>
      <c r="F31" s="353"/>
      <c r="H31" s="21"/>
      <c r="L31" s="55"/>
      <c r="Y31" s="6"/>
      <c r="Z31" s="7"/>
      <c r="AE31" s="8"/>
      <c r="AK31" s="6"/>
      <c r="AN31" s="65">
        <v>43</v>
      </c>
      <c r="AO31" s="68">
        <v>500</v>
      </c>
      <c r="AP31" s="68">
        <v>113</v>
      </c>
      <c r="AQ31" s="65" t="s">
        <v>86</v>
      </c>
    </row>
    <row r="32" spans="1:47" ht="23.25" customHeight="1" x14ac:dyDescent="0.15">
      <c r="A32" s="242"/>
      <c r="B32" s="328">
        <f>B26-160</f>
        <v>940</v>
      </c>
      <c r="C32" s="329"/>
      <c r="D32" s="330">
        <f>D24-165</f>
        <v>1875</v>
      </c>
      <c r="E32" s="331"/>
      <c r="F32" s="354"/>
      <c r="H32" s="56"/>
      <c r="Y32" s="6"/>
      <c r="Z32" s="7"/>
      <c r="AE32" s="8"/>
      <c r="AK32" s="6"/>
    </row>
    <row r="33" spans="1:47" ht="18" customHeight="1" x14ac:dyDescent="0.15">
      <c r="A33" s="24" t="s">
        <v>92</v>
      </c>
      <c r="H33" s="21"/>
      <c r="Y33" s="6"/>
      <c r="Z33" s="7"/>
      <c r="AE33" s="8"/>
      <c r="AK33" s="6"/>
    </row>
    <row r="34" spans="1:47" ht="18" customHeight="1" x14ac:dyDescent="0.15">
      <c r="A34" s="24" t="s">
        <v>32</v>
      </c>
      <c r="H34" s="21"/>
      <c r="N34" s="34"/>
      <c r="O34" s="34"/>
      <c r="Y34" s="6"/>
      <c r="Z34" s="7"/>
      <c r="AK34" s="6"/>
      <c r="AN34" s="1" t="s">
        <v>94</v>
      </c>
      <c r="AT34" s="30">
        <v>45</v>
      </c>
    </row>
    <row r="35" spans="1:47" ht="18" customHeight="1" x14ac:dyDescent="0.15">
      <c r="A35" s="24" t="s">
        <v>33</v>
      </c>
      <c r="Y35" s="6"/>
      <c r="Z35" s="7"/>
      <c r="AK35" s="6"/>
      <c r="AT35" s="30">
        <f>B30*D30/90000</f>
        <v>13.333333333333334</v>
      </c>
    </row>
    <row r="36" spans="1:47" ht="18" customHeight="1" x14ac:dyDescent="0.15">
      <c r="A36" s="25"/>
      <c r="B36" s="13"/>
      <c r="C36" s="13"/>
      <c r="Y36" s="82" t="s">
        <v>134</v>
      </c>
      <c r="Z36" s="7"/>
      <c r="AH36" s="26"/>
      <c r="AI36" s="26"/>
      <c r="AK36" s="82" t="s">
        <v>131</v>
      </c>
    </row>
    <row r="37" spans="1:47" ht="18" customHeight="1" x14ac:dyDescent="0.15">
      <c r="A37" s="316" t="s">
        <v>34</v>
      </c>
      <c r="B37" s="84"/>
      <c r="C37" s="85"/>
      <c r="D37" s="86"/>
      <c r="E37" s="86"/>
      <c r="F37" s="87" t="s">
        <v>5</v>
      </c>
      <c r="G37" s="387" t="s">
        <v>79</v>
      </c>
      <c r="H37" s="388"/>
      <c r="I37" s="389"/>
      <c r="J37" s="88" t="s">
        <v>36</v>
      </c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90"/>
      <c r="W37" s="313" t="s">
        <v>37</v>
      </c>
      <c r="X37" s="314"/>
      <c r="Y37" s="315"/>
      <c r="Z37" s="316" t="s">
        <v>34</v>
      </c>
      <c r="AA37" s="84"/>
      <c r="AB37" s="85"/>
      <c r="AC37" s="85"/>
      <c r="AD37" s="85"/>
      <c r="AE37" s="85"/>
      <c r="AF37" s="119" t="s">
        <v>5</v>
      </c>
      <c r="AG37" s="119" t="s">
        <v>35</v>
      </c>
      <c r="AH37" s="313" t="s">
        <v>36</v>
      </c>
      <c r="AI37" s="314"/>
      <c r="AJ37" s="381"/>
      <c r="AK37" s="120" t="s">
        <v>35</v>
      </c>
      <c r="AL37" s="2"/>
      <c r="AM37" s="2"/>
      <c r="AN37" s="2"/>
      <c r="AO37" s="2"/>
      <c r="AP37" s="2"/>
      <c r="AQ37" s="2"/>
      <c r="AR37" s="2"/>
      <c r="AT37" s="30">
        <f>1302*1403/90000</f>
        <v>20.296733333333332</v>
      </c>
    </row>
    <row r="38" spans="1:47" ht="18" customHeight="1" x14ac:dyDescent="0.15">
      <c r="A38" s="317"/>
      <c r="B38" s="91" t="str">
        <f>IF(OR(B7="에벤에셀(원주)",B7="",B7="에벤에셀도어",B7="원주)에벤에셀",B7="성보기업"),"※물구멍 폴리에 타공 ","")</f>
        <v/>
      </c>
      <c r="C38" s="92"/>
      <c r="D38" s="92"/>
      <c r="E38" s="92"/>
      <c r="F38" s="93" t="s">
        <v>6</v>
      </c>
      <c r="G38" s="382"/>
      <c r="H38" s="382"/>
      <c r="I38" s="383"/>
      <c r="J38" s="94" t="s">
        <v>38</v>
      </c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6"/>
      <c r="W38" s="384"/>
      <c r="X38" s="385"/>
      <c r="Y38" s="386"/>
      <c r="Z38" s="317"/>
      <c r="AA38" s="121"/>
      <c r="AB38" s="122"/>
      <c r="AC38" s="122"/>
      <c r="AD38" s="122"/>
      <c r="AE38" s="122"/>
      <c r="AF38" s="93" t="s">
        <v>6</v>
      </c>
      <c r="AG38" s="93"/>
      <c r="AH38" s="321" t="s">
        <v>6</v>
      </c>
      <c r="AI38" s="322"/>
      <c r="AJ38" s="323"/>
      <c r="AK38" s="123"/>
      <c r="AL38" s="2"/>
      <c r="AM38" s="2"/>
      <c r="AN38" s="2"/>
      <c r="AO38" s="2"/>
      <c r="AP38" s="2"/>
      <c r="AQ38" s="2"/>
      <c r="AR38" s="2"/>
    </row>
    <row r="39" spans="1:47" ht="18" customHeight="1" x14ac:dyDescent="0.15">
      <c r="A39" s="317"/>
      <c r="B39" s="91"/>
      <c r="C39" s="92"/>
      <c r="D39" s="92"/>
      <c r="E39" s="92"/>
      <c r="F39" s="97" t="s">
        <v>8</v>
      </c>
      <c r="G39" s="324"/>
      <c r="H39" s="324"/>
      <c r="I39" s="325"/>
      <c r="J39" s="98" t="s">
        <v>39</v>
      </c>
      <c r="K39" s="99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1"/>
      <c r="W39" s="378"/>
      <c r="X39" s="379"/>
      <c r="Y39" s="380"/>
      <c r="Z39" s="317"/>
      <c r="AA39" s="121"/>
      <c r="AB39" s="122"/>
      <c r="AC39" s="122"/>
      <c r="AD39" s="122"/>
      <c r="AE39" s="122"/>
      <c r="AF39" s="97" t="s">
        <v>8</v>
      </c>
      <c r="AG39" s="97"/>
      <c r="AH39" s="173" t="s">
        <v>8</v>
      </c>
      <c r="AI39" s="174"/>
      <c r="AJ39" s="175"/>
      <c r="AK39" s="124"/>
      <c r="AL39" s="2"/>
      <c r="AM39" s="2"/>
      <c r="AN39" s="2"/>
      <c r="AO39" s="2"/>
      <c r="AP39" s="2"/>
      <c r="AQ39" s="2"/>
      <c r="AR39" s="2"/>
      <c r="AU39" s="166">
        <f>SUM(AT34:AT41)*4200</f>
        <v>330246.27999999997</v>
      </c>
    </row>
    <row r="40" spans="1:47" ht="18" customHeight="1" x14ac:dyDescent="0.15">
      <c r="A40" s="317"/>
      <c r="B40" s="102" t="s">
        <v>40</v>
      </c>
      <c r="C40" s="103"/>
      <c r="D40" s="92"/>
      <c r="E40" s="92"/>
      <c r="F40" s="97" t="s">
        <v>4</v>
      </c>
      <c r="G40" s="324"/>
      <c r="H40" s="324"/>
      <c r="I40" s="325"/>
      <c r="J40" s="104" t="s">
        <v>41</v>
      </c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6"/>
      <c r="W40" s="366"/>
      <c r="X40" s="366"/>
      <c r="Y40" s="367"/>
      <c r="Z40" s="317"/>
      <c r="AA40" s="121"/>
      <c r="AB40" s="122"/>
      <c r="AC40" s="122"/>
      <c r="AD40" s="122"/>
      <c r="AE40" s="122"/>
      <c r="AF40" s="97" t="s">
        <v>4</v>
      </c>
      <c r="AG40" s="97"/>
      <c r="AH40" s="372" t="s">
        <v>42</v>
      </c>
      <c r="AI40" s="373"/>
      <c r="AJ40" s="374"/>
      <c r="AK40" s="124"/>
      <c r="AL40" s="2"/>
      <c r="AM40" s="2"/>
      <c r="AN40" s="2"/>
      <c r="AO40" s="2"/>
      <c r="AP40" s="2"/>
      <c r="AQ40" s="2"/>
      <c r="AR40" s="2"/>
    </row>
    <row r="41" spans="1:47" ht="18" customHeight="1" x14ac:dyDescent="0.15">
      <c r="A41" s="317"/>
      <c r="B41" s="91"/>
      <c r="C41" s="92"/>
      <c r="D41" s="92"/>
      <c r="E41" s="92"/>
      <c r="F41" s="97" t="s">
        <v>1</v>
      </c>
      <c r="G41" s="324"/>
      <c r="H41" s="324"/>
      <c r="I41" s="325"/>
      <c r="J41" s="104" t="s">
        <v>43</v>
      </c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6"/>
      <c r="W41" s="366"/>
      <c r="X41" s="366"/>
      <c r="Y41" s="367"/>
      <c r="Z41" s="317"/>
      <c r="AA41" s="121"/>
      <c r="AB41" s="122"/>
      <c r="AC41" s="122"/>
      <c r="AD41" s="122"/>
      <c r="AE41" s="122"/>
      <c r="AF41" s="125"/>
      <c r="AG41" s="125"/>
      <c r="AH41" s="126"/>
      <c r="AI41" s="127"/>
      <c r="AJ41" s="128"/>
      <c r="AK41" s="129"/>
      <c r="AL41" s="2"/>
      <c r="AM41" s="2"/>
      <c r="AN41" s="2"/>
      <c r="AO41" s="2"/>
      <c r="AP41" s="2"/>
      <c r="AQ41" s="2"/>
      <c r="AR41" s="2"/>
    </row>
    <row r="42" spans="1:47" ht="18" customHeight="1" x14ac:dyDescent="0.15">
      <c r="A42" s="317"/>
      <c r="B42" s="107" t="str">
        <f>IF(OR(B7="제주도)성보기업",B7="제주)성보기업",B7="제주-성보기업",B7="제주도-성보기업",B7="성보기업"),"유리고무 부착하지말고 별도로줄것","")</f>
        <v/>
      </c>
      <c r="C42" s="108"/>
      <c r="D42" s="92"/>
      <c r="E42" s="92"/>
      <c r="F42" s="97" t="s">
        <v>11</v>
      </c>
      <c r="G42" s="324"/>
      <c r="H42" s="324"/>
      <c r="I42" s="325"/>
      <c r="J42" s="109" t="s">
        <v>44</v>
      </c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1"/>
      <c r="W42" s="375"/>
      <c r="X42" s="376"/>
      <c r="Y42" s="377"/>
      <c r="Z42" s="317"/>
      <c r="AA42" s="121"/>
      <c r="AB42" s="122"/>
      <c r="AC42" s="122"/>
      <c r="AD42" s="122"/>
      <c r="AE42" s="122"/>
      <c r="AF42" s="130"/>
      <c r="AG42" s="130"/>
      <c r="AH42" s="126"/>
      <c r="AI42" s="127"/>
      <c r="AJ42" s="128"/>
      <c r="AK42" s="129"/>
      <c r="AL42" s="2"/>
      <c r="AM42" s="2"/>
      <c r="AN42" s="2"/>
      <c r="AO42" s="2"/>
      <c r="AP42" s="2"/>
      <c r="AQ42" s="2"/>
      <c r="AR42" s="2"/>
    </row>
    <row r="43" spans="1:47" ht="18" customHeight="1" x14ac:dyDescent="0.15">
      <c r="A43" s="318"/>
      <c r="B43" s="112"/>
      <c r="C43" s="113"/>
      <c r="D43" s="113"/>
      <c r="E43" s="113"/>
      <c r="F43" s="97" t="s">
        <v>17</v>
      </c>
      <c r="G43" s="324"/>
      <c r="H43" s="324"/>
      <c r="I43" s="325"/>
      <c r="J43" s="114" t="s">
        <v>45</v>
      </c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1"/>
      <c r="W43" s="378"/>
      <c r="X43" s="379"/>
      <c r="Y43" s="380"/>
      <c r="Z43" s="318"/>
      <c r="AA43" s="131"/>
      <c r="AB43" s="132"/>
      <c r="AC43" s="132"/>
      <c r="AD43" s="132"/>
      <c r="AE43" s="132"/>
      <c r="AF43" s="133" t="s">
        <v>80</v>
      </c>
      <c r="AG43" s="134"/>
      <c r="AH43" s="135"/>
      <c r="AI43" s="136"/>
      <c r="AJ43" s="137"/>
      <c r="AK43" s="138"/>
      <c r="AL43" s="2"/>
      <c r="AM43" s="2"/>
      <c r="AN43" s="2"/>
      <c r="AO43" s="2"/>
      <c r="AP43" s="2"/>
      <c r="AQ43" s="2"/>
      <c r="AR43" s="2"/>
    </row>
    <row r="44" spans="1:47" ht="18" customHeight="1" x14ac:dyDescent="0.15">
      <c r="A44" s="358" t="s">
        <v>73</v>
      </c>
      <c r="B44" s="360" t="s">
        <v>128</v>
      </c>
      <c r="C44" s="361"/>
      <c r="D44" s="361"/>
      <c r="E44" s="362"/>
      <c r="F44" s="97" t="s">
        <v>18</v>
      </c>
      <c r="G44" s="324"/>
      <c r="H44" s="324"/>
      <c r="I44" s="325"/>
      <c r="J44" s="104" t="s">
        <v>46</v>
      </c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6"/>
      <c r="W44" s="366"/>
      <c r="X44" s="366"/>
      <c r="Y44" s="367"/>
      <c r="Z44" s="167" t="s">
        <v>93</v>
      </c>
      <c r="AA44" s="168"/>
      <c r="AB44" s="168"/>
      <c r="AC44" s="168"/>
      <c r="AD44" s="168"/>
      <c r="AE44" s="168"/>
      <c r="AF44" s="168"/>
      <c r="AG44" s="168"/>
      <c r="AH44" s="168"/>
      <c r="AI44" s="168"/>
      <c r="AJ44" s="168"/>
      <c r="AK44" s="169"/>
      <c r="AL44" s="2"/>
      <c r="AM44" s="2"/>
      <c r="AN44" s="2"/>
      <c r="AO44" s="2"/>
      <c r="AP44" s="2"/>
      <c r="AQ44" s="2"/>
      <c r="AR44" s="2"/>
    </row>
    <row r="45" spans="1:47" ht="18" customHeight="1" thickBot="1" x14ac:dyDescent="0.2">
      <c r="A45" s="359"/>
      <c r="B45" s="363"/>
      <c r="C45" s="364"/>
      <c r="D45" s="364"/>
      <c r="E45" s="365"/>
      <c r="F45" s="115" t="s">
        <v>80</v>
      </c>
      <c r="G45" s="368"/>
      <c r="H45" s="368"/>
      <c r="I45" s="368"/>
      <c r="J45" s="116" t="s">
        <v>42</v>
      </c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8"/>
      <c r="W45" s="369"/>
      <c r="X45" s="370"/>
      <c r="Y45" s="371"/>
      <c r="Z45" s="170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2"/>
      <c r="AL45" s="2"/>
      <c r="AM45" s="2"/>
      <c r="AN45" s="2"/>
      <c r="AO45" s="2"/>
      <c r="AP45" s="2"/>
      <c r="AQ45" s="2"/>
      <c r="AR45" s="2"/>
    </row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spans="1:44" ht="18" customHeight="1" x14ac:dyDescent="0.15"/>
    <row r="66" spans="1:44" ht="18" customHeight="1" x14ac:dyDescent="0.15"/>
    <row r="67" spans="1:44" ht="18" customHeight="1" x14ac:dyDescent="0.15"/>
    <row r="68" spans="1:44" ht="18" customHeight="1" x14ac:dyDescent="0.15"/>
    <row r="69" spans="1:44" ht="18" customHeight="1" x14ac:dyDescent="0.15"/>
    <row r="70" spans="1:44" ht="18" customHeight="1" x14ac:dyDescent="0.15"/>
    <row r="71" spans="1:44" ht="18" customHeight="1" x14ac:dyDescent="0.15"/>
    <row r="72" spans="1:44" ht="18" customHeight="1" x14ac:dyDescent="0.15"/>
    <row r="73" spans="1:44" s="62" customFormat="1" ht="24.75" customHeight="1" x14ac:dyDescent="0.15">
      <c r="A73" s="59"/>
      <c r="B73" s="60"/>
      <c r="C73" s="60"/>
      <c r="D73" s="60"/>
      <c r="E73" s="60"/>
      <c r="F73" s="60"/>
      <c r="G73" s="60"/>
      <c r="H73" s="61"/>
      <c r="I73" s="61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</row>
    <row r="74" spans="1:44" ht="18" customHeight="1" x14ac:dyDescent="0.15"/>
    <row r="75" spans="1:44" ht="18" customHeight="1" x14ac:dyDescent="0.15"/>
    <row r="76" spans="1:44" ht="18" customHeight="1" x14ac:dyDescent="0.15"/>
    <row r="77" spans="1:44" ht="18" customHeight="1" x14ac:dyDescent="0.15"/>
    <row r="78" spans="1:44" ht="18" customHeight="1" x14ac:dyDescent="0.15"/>
    <row r="79" spans="1:44" ht="18" customHeight="1" x14ac:dyDescent="0.15"/>
    <row r="80" spans="1:44" ht="18" customHeight="1" x14ac:dyDescent="0.15"/>
    <row r="81" spans="1:44" ht="18" customHeight="1" x14ac:dyDescent="0.15"/>
    <row r="82" spans="1:44" ht="9" customHeight="1" x14ac:dyDescent="0.15"/>
    <row r="83" spans="1:44" ht="9" customHeight="1" x14ac:dyDescent="0.15"/>
    <row r="84" spans="1:44" ht="18" customHeight="1" x14ac:dyDescent="0.15"/>
    <row r="85" spans="1:44" ht="18" customHeight="1" x14ac:dyDescent="0.15"/>
    <row r="86" spans="1:44" ht="18" customHeight="1" x14ac:dyDescent="0.15"/>
    <row r="87" spans="1:44" ht="18" customHeight="1" x14ac:dyDescent="0.15"/>
    <row r="88" spans="1:44" ht="18" customHeight="1" x14ac:dyDescent="0.15"/>
    <row r="89" spans="1:44" ht="18" customHeight="1" x14ac:dyDescent="0.15"/>
    <row r="90" spans="1:44" ht="18" customHeight="1" x14ac:dyDescent="0.15"/>
    <row r="91" spans="1:44" ht="18" customHeight="1" x14ac:dyDescent="0.15"/>
    <row r="92" spans="1:44" ht="18" customHeight="1" x14ac:dyDescent="0.15"/>
    <row r="93" spans="1:44" ht="18" customHeight="1" x14ac:dyDescent="0.15"/>
    <row r="94" spans="1:44" ht="18" customHeight="1" x14ac:dyDescent="0.15"/>
    <row r="95" spans="1:44" ht="18" customHeight="1" x14ac:dyDescent="0.15"/>
    <row r="96" spans="1:44" s="62" customFormat="1" ht="24.75" customHeight="1" x14ac:dyDescent="0.15">
      <c r="A96" s="59"/>
      <c r="B96" s="60"/>
      <c r="C96" s="60"/>
      <c r="D96" s="60"/>
      <c r="E96" s="60"/>
      <c r="F96" s="60"/>
      <c r="G96" s="60"/>
      <c r="H96" s="61"/>
      <c r="I96" s="61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</row>
    <row r="97" ht="18" customHeight="1" x14ac:dyDescent="0.15"/>
    <row r="98" ht="18" customHeight="1" x14ac:dyDescent="0.15"/>
    <row r="99" ht="18" customHeight="1" x14ac:dyDescent="0.15"/>
    <row r="100" ht="18" customHeight="1" x14ac:dyDescent="0.15"/>
    <row r="101" ht="18" customHeight="1" x14ac:dyDescent="0.15"/>
    <row r="102" ht="18" customHeight="1" x14ac:dyDescent="0.15"/>
    <row r="103" ht="18" customHeight="1" x14ac:dyDescent="0.15"/>
    <row r="104" ht="18" customHeight="1" x14ac:dyDescent="0.15"/>
    <row r="105" ht="9" customHeight="1" x14ac:dyDescent="0.15"/>
    <row r="106" ht="9" customHeight="1" x14ac:dyDescent="0.15"/>
    <row r="107" ht="18" customHeight="1" x14ac:dyDescent="0.15"/>
    <row r="108" ht="17.45" customHeight="1" x14ac:dyDescent="0.15"/>
    <row r="109" ht="17.45" customHeight="1" x14ac:dyDescent="0.15"/>
    <row r="110" ht="17.45" customHeight="1" x14ac:dyDescent="0.15"/>
    <row r="111" ht="17.45" customHeight="1" x14ac:dyDescent="0.15"/>
    <row r="112" ht="17.45" customHeight="1" x14ac:dyDescent="0.15"/>
    <row r="113" ht="17.45" customHeight="1" x14ac:dyDescent="0.15"/>
    <row r="114" ht="17.45" customHeight="1" x14ac:dyDescent="0.15"/>
    <row r="115" ht="17.45" customHeight="1" x14ac:dyDescent="0.15"/>
    <row r="116" ht="17.45" customHeight="1" x14ac:dyDescent="0.15"/>
    <row r="117" ht="17.45" customHeight="1" x14ac:dyDescent="0.15"/>
    <row r="118" ht="17.45" customHeight="1" x14ac:dyDescent="0.15"/>
    <row r="119" ht="17.45" customHeight="1" x14ac:dyDescent="0.15"/>
    <row r="120" ht="17.45" customHeight="1" x14ac:dyDescent="0.15"/>
    <row r="121" ht="17.45" customHeight="1" x14ac:dyDescent="0.15"/>
    <row r="122" ht="17.45" customHeight="1" x14ac:dyDescent="0.15"/>
    <row r="123" ht="17.45" customHeight="1" x14ac:dyDescent="0.15"/>
    <row r="124" ht="17.45" customHeight="1" x14ac:dyDescent="0.15"/>
    <row r="125" ht="17.45" customHeight="1" x14ac:dyDescent="0.15"/>
    <row r="126" ht="17.45" customHeight="1" x14ac:dyDescent="0.15"/>
    <row r="127" ht="17.45" customHeight="1" x14ac:dyDescent="0.15"/>
    <row r="128" ht="17.25" customHeight="1" x14ac:dyDescent="0.15"/>
    <row r="129" spans="1:44" ht="17.25" customHeight="1" x14ac:dyDescent="0.15"/>
    <row r="130" spans="1:44" ht="17.25" customHeight="1" x14ac:dyDescent="0.15"/>
    <row r="131" spans="1:44" ht="17.25" customHeight="1" x14ac:dyDescent="0.15"/>
    <row r="132" spans="1:44" ht="17.25" customHeight="1" x14ac:dyDescent="0.15"/>
    <row r="133" spans="1:44" ht="17.25" customHeight="1" x14ac:dyDescent="0.15"/>
    <row r="134" spans="1:44" ht="17.25" customHeight="1" x14ac:dyDescent="0.15"/>
    <row r="135" spans="1:44" ht="17.25" customHeight="1" x14ac:dyDescent="0.15"/>
    <row r="136" spans="1:44" ht="17.25" customHeight="1" x14ac:dyDescent="0.15"/>
    <row r="137" spans="1:44" ht="17.25" customHeight="1" x14ac:dyDescent="0.15"/>
    <row r="138" spans="1:44" ht="17.25" customHeight="1" x14ac:dyDescent="0.15"/>
    <row r="139" spans="1:44" s="62" customFormat="1" ht="24.75" customHeight="1" x14ac:dyDescent="0.15">
      <c r="A139" s="59"/>
      <c r="B139" s="60"/>
      <c r="C139" s="60"/>
      <c r="D139" s="60"/>
      <c r="E139" s="60"/>
      <c r="F139" s="60"/>
      <c r="G139" s="60"/>
      <c r="H139" s="61"/>
      <c r="I139" s="61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</row>
    <row r="140" spans="1:44" ht="17.25" customHeight="1" x14ac:dyDescent="0.15"/>
    <row r="141" spans="1:44" ht="17.25" customHeight="1" x14ac:dyDescent="0.15"/>
    <row r="142" spans="1:44" ht="17.25" customHeight="1" x14ac:dyDescent="0.15"/>
    <row r="143" spans="1:44" ht="17.25" customHeight="1" x14ac:dyDescent="0.15"/>
    <row r="144" spans="1:44" ht="17.25" customHeight="1" x14ac:dyDescent="0.15"/>
    <row r="145" ht="17.25" customHeight="1" x14ac:dyDescent="0.15"/>
    <row r="146" ht="17.25" customHeight="1" x14ac:dyDescent="0.15"/>
    <row r="147" ht="17.25" customHeight="1" x14ac:dyDescent="0.15"/>
    <row r="148" ht="8.1" customHeight="1" x14ac:dyDescent="0.15"/>
    <row r="149" ht="8.1" customHeight="1" x14ac:dyDescent="0.15"/>
    <row r="150" ht="17.25" customHeight="1" x14ac:dyDescent="0.15"/>
    <row r="151" ht="17.25" customHeight="1" x14ac:dyDescent="0.15"/>
    <row r="152" ht="17.25" customHeight="1" x14ac:dyDescent="0.15"/>
    <row r="153" ht="17.25" customHeight="1" x14ac:dyDescent="0.15"/>
  </sheetData>
  <mergeCells count="131">
    <mergeCell ref="AH29:AH30"/>
    <mergeCell ref="AI29:AJ30"/>
    <mergeCell ref="F30:F32"/>
    <mergeCell ref="F24:F26"/>
    <mergeCell ref="F28:F29"/>
    <mergeCell ref="A44:A45"/>
    <mergeCell ref="B44:E45"/>
    <mergeCell ref="G44:I44"/>
    <mergeCell ref="W44:Y44"/>
    <mergeCell ref="G45:I45"/>
    <mergeCell ref="W45:Y45"/>
    <mergeCell ref="G40:I40"/>
    <mergeCell ref="W40:Y40"/>
    <mergeCell ref="AH40:AJ40"/>
    <mergeCell ref="G41:I41"/>
    <mergeCell ref="W41:Y41"/>
    <mergeCell ref="G42:I42"/>
    <mergeCell ref="W42:Y43"/>
    <mergeCell ref="G43:I43"/>
    <mergeCell ref="A37:A43"/>
    <mergeCell ref="AH37:AJ37"/>
    <mergeCell ref="G38:I38"/>
    <mergeCell ref="W38:Y39"/>
    <mergeCell ref="G37:I37"/>
    <mergeCell ref="W37:Y37"/>
    <mergeCell ref="Z37:Z43"/>
    <mergeCell ref="A9:B10"/>
    <mergeCell ref="C9:D10"/>
    <mergeCell ref="A7:A8"/>
    <mergeCell ref="B7:F8"/>
    <mergeCell ref="AH38:AJ38"/>
    <mergeCell ref="G39:I39"/>
    <mergeCell ref="A30:A32"/>
    <mergeCell ref="B30:C30"/>
    <mergeCell ref="D30:E30"/>
    <mergeCell ref="B31:C31"/>
    <mergeCell ref="D31:E31"/>
    <mergeCell ref="B32:C32"/>
    <mergeCell ref="D32:E32"/>
    <mergeCell ref="A27:A29"/>
    <mergeCell ref="B27:C27"/>
    <mergeCell ref="D27:E27"/>
    <mergeCell ref="B28:C28"/>
    <mergeCell ref="D28:E28"/>
    <mergeCell ref="B29:C29"/>
    <mergeCell ref="D29:E29"/>
    <mergeCell ref="A21:A22"/>
    <mergeCell ref="A24:A26"/>
    <mergeCell ref="D24:E24"/>
    <mergeCell ref="J24:M24"/>
    <mergeCell ref="AF27:AF28"/>
    <mergeCell ref="J25:V25"/>
    <mergeCell ref="F21:F22"/>
    <mergeCell ref="B26:C26"/>
    <mergeCell ref="H26:X26"/>
    <mergeCell ref="B25:C25"/>
    <mergeCell ref="D25:E25"/>
    <mergeCell ref="B17:C18"/>
    <mergeCell ref="D17:D18"/>
    <mergeCell ref="B13:D14"/>
    <mergeCell ref="AE12:AG13"/>
    <mergeCell ref="Q8:V9"/>
    <mergeCell ref="D26:E26"/>
    <mergeCell ref="K19:L19"/>
    <mergeCell ref="B15:D16"/>
    <mergeCell ref="E15:F16"/>
    <mergeCell ref="AF18:AF19"/>
    <mergeCell ref="AG18:AG19"/>
    <mergeCell ref="AG20:AG21"/>
    <mergeCell ref="E9:F10"/>
    <mergeCell ref="B21:D22"/>
    <mergeCell ref="E21:E22"/>
    <mergeCell ref="AE23:AE30"/>
    <mergeCell ref="AF23:AF26"/>
    <mergeCell ref="AF29:AF30"/>
    <mergeCell ref="AG29:AG30"/>
    <mergeCell ref="AG27:AG28"/>
    <mergeCell ref="E19:E20"/>
    <mergeCell ref="B19:D19"/>
    <mergeCell ref="B20:C20"/>
    <mergeCell ref="B24:C24"/>
    <mergeCell ref="B4:F4"/>
    <mergeCell ref="A5:A6"/>
    <mergeCell ref="B5:F6"/>
    <mergeCell ref="H4:Y4"/>
    <mergeCell ref="K6:U6"/>
    <mergeCell ref="A1:Y3"/>
    <mergeCell ref="Z1:AK3"/>
    <mergeCell ref="AH10:AJ11"/>
    <mergeCell ref="AN14:AN15"/>
    <mergeCell ref="H5:Y5"/>
    <mergeCell ref="R10:V12"/>
    <mergeCell ref="AH27:AH28"/>
    <mergeCell ref="AI27:AI28"/>
    <mergeCell ref="AJ27:AJ28"/>
    <mergeCell ref="AH18:AH19"/>
    <mergeCell ref="AI18:AI19"/>
    <mergeCell ref="AJ18:AJ19"/>
    <mergeCell ref="AG5:AJ6"/>
    <mergeCell ref="AE5:AF6"/>
    <mergeCell ref="AE10:AG11"/>
    <mergeCell ref="AE7:AF8"/>
    <mergeCell ref="AG7:AJ8"/>
    <mergeCell ref="AI23:AJ23"/>
    <mergeCell ref="AI24:AJ26"/>
    <mergeCell ref="AH24:AH26"/>
    <mergeCell ref="AG24:AG26"/>
    <mergeCell ref="Z44:AK45"/>
    <mergeCell ref="AH39:AJ39"/>
    <mergeCell ref="AH12:AJ13"/>
    <mergeCell ref="A11:B11"/>
    <mergeCell ref="A12:B12"/>
    <mergeCell ref="AH15:AH17"/>
    <mergeCell ref="AG15:AG17"/>
    <mergeCell ref="AI14:AJ14"/>
    <mergeCell ref="AI15:AJ17"/>
    <mergeCell ref="D23:E23"/>
    <mergeCell ref="B23:C23"/>
    <mergeCell ref="C11:D12"/>
    <mergeCell ref="E11:F12"/>
    <mergeCell ref="F19:F20"/>
    <mergeCell ref="AF20:AF21"/>
    <mergeCell ref="AF14:AF17"/>
    <mergeCell ref="F17:F18"/>
    <mergeCell ref="A13:A16"/>
    <mergeCell ref="E13:F14"/>
    <mergeCell ref="AE14:AE21"/>
    <mergeCell ref="A17:A18"/>
    <mergeCell ref="E17:E18"/>
    <mergeCell ref="AH20:AH21"/>
    <mergeCell ref="AI20:AJ21"/>
  </mergeCells>
  <phoneticPr fontId="10" type="noConversion"/>
  <conditionalFormatting sqref="A11:B11">
    <cfRule type="expression" dxfId="12" priority="1">
      <formula>$A$11="도장"</formula>
    </cfRule>
  </conditionalFormatting>
  <conditionalFormatting sqref="B19:B20">
    <cfRule type="expression" dxfId="11" priority="50">
      <formula>$B$15&lt;750</formula>
    </cfRule>
  </conditionalFormatting>
  <conditionalFormatting sqref="B24:E24 B27:E27 B30:E30">
    <cfRule type="expression" dxfId="10" priority="249">
      <formula>$AO$9=4</formula>
    </cfRule>
  </conditionalFormatting>
  <conditionalFormatting sqref="D17:F18 B25:E26 B28:E29 B31:E32">
    <cfRule type="expression" dxfId="9" priority="250">
      <formula>$AO$9=1</formula>
    </cfRule>
    <cfRule type="expression" dxfId="8" priority="251">
      <formula>$AO$9=2</formula>
    </cfRule>
  </conditionalFormatting>
  <conditionalFormatting sqref="D17:F18">
    <cfRule type="expression" dxfId="7" priority="182">
      <formula>$AO$9=3</formula>
    </cfRule>
    <cfRule type="expression" dxfId="6" priority="183">
      <formula>$AO$9=4</formula>
    </cfRule>
  </conditionalFormatting>
  <conditionalFormatting sqref="F17:F18 B26:E26 B29:E29 B32:E32">
    <cfRule type="expression" dxfId="5" priority="248">
      <formula>$AO$9=3</formula>
    </cfRule>
  </conditionalFormatting>
  <conditionalFormatting sqref="AE23:AJ30">
    <cfRule type="expression" dxfId="4" priority="255">
      <formula>$AE$23=""</formula>
    </cfRule>
  </conditionalFormatting>
  <dataValidations count="10">
    <dataValidation type="list" allowBlank="1" showInputMessage="1" showErrorMessage="1" sqref="AO16" xr:uid="{7AE7EA1B-74F3-45A1-AA4B-504D2FC1D7EF}">
      <formula1>영어</formula1>
    </dataValidation>
    <dataValidation type="list" allowBlank="1" showInputMessage="1" showErrorMessage="1" sqref="B21:D22" xr:uid="{D714D5C2-89C8-4B21-A3F9-1F4ADC02263B}">
      <formula1>"기본,없음,하부낮은턱"</formula1>
    </dataValidation>
    <dataValidation type="list" allowBlank="1" showInputMessage="1" showErrorMessage="1" sqref="B19" xr:uid="{9BDF7EBE-29D9-4986-AC45-0F36C74FC6E1}">
      <formula1>"매립형 도어클로져 부착,없음"</formula1>
    </dataValidation>
    <dataValidation type="list" allowBlank="1" showInputMessage="1" showErrorMessage="1" sqref="B17" xr:uid="{5DEB672E-F2FE-40A1-BDDF-724EF520E431}">
      <formula1>"좌경첩,우경첩,양개 대칭, 양개 비대칭"</formula1>
    </dataValidation>
    <dataValidation type="list" allowBlank="1" showInputMessage="1" showErrorMessage="1" sqref="A11" xr:uid="{476E8299-0D37-4812-8B10-0146541B14B7}">
      <formula1>"블랙,백색,실버,도장"</formula1>
    </dataValidation>
    <dataValidation type="list" allowBlank="1" showInputMessage="1" showErrorMessage="1" sqref="AE12" xr:uid="{58C92818-F105-4BF4-8E59-546AC88BBE9E}">
      <formula1>$AN$3:$AN$6</formula1>
    </dataValidation>
    <dataValidation type="list" allowBlank="1" showInputMessage="1" showErrorMessage="1" sqref="E11:F12" xr:uid="{E20F1400-4E97-4AE6-B00D-CAFB49F93C2E}">
      <formula1>"밖으로 당기는문,안으로 미는문"</formula1>
    </dataValidation>
    <dataValidation type="list" allowBlank="1" showInputMessage="1" showErrorMessage="1" sqref="E17:E18" xr:uid="{2AB1043F-D11B-4630-A4EA-3C32CB0B2BE8}">
      <formula1>"좌,우"</formula1>
    </dataValidation>
    <dataValidation type="list" allowBlank="1" showInputMessage="1" showErrorMessage="1" sqref="F19:F20" xr:uid="{527394CC-1F1C-49E6-AA2B-4495B770E658}">
      <formula1>$AQ$9:$AQ$11</formula1>
    </dataValidation>
    <dataValidation type="list" allowBlank="1" showInputMessage="1" showErrorMessage="1" sqref="B20" xr:uid="{58A42476-D0B5-491D-A251-EDB1A6E4E10E}">
      <formula1>"기본,추가부착"</formula1>
    </dataValidation>
  </dataValidations>
  <printOptions horizontalCentered="1" verticalCentered="1"/>
  <pageMargins left="0.31496062992125984" right="0.31496062992125984" top="0.39370078740157483" bottom="0.78740157480314965" header="0.11811023622047245" footer="0"/>
  <pageSetup paperSize="9" scale="72" orientation="portrait" horizontalDpi="360" verticalDpi="360" r:id="rId1"/>
  <headerFooter>
    <oddFooter>&amp;R&amp;G</oddFooter>
  </headerFooter>
  <colBreaks count="1" manualBreakCount="1">
    <brk id="25" max="1048575" man="1"/>
  </colBreaks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55EF3-BFC6-4578-8904-7F0B1FA59DD2}">
  <sheetPr codeName="Sheet3"/>
  <dimension ref="A1:AU153"/>
  <sheetViews>
    <sheetView showGridLines="0" view="pageBreakPreview" topLeftCell="A4" zoomScale="70" zoomScaleNormal="55" zoomScaleSheetLayoutView="70" workbookViewId="0">
      <selection activeCell="AD23" sqref="AD23"/>
    </sheetView>
  </sheetViews>
  <sheetFormatPr defaultColWidth="8.88671875" defaultRowHeight="25.5" customHeight="1" outlineLevelCol="1" x14ac:dyDescent="0.15"/>
  <cols>
    <col min="1" max="1" width="10.33203125" style="21" customWidth="1"/>
    <col min="2" max="2" width="9.6640625" style="1" customWidth="1"/>
    <col min="3" max="3" width="8.21875" style="1" customWidth="1"/>
    <col min="4" max="4" width="8.77734375" style="1" customWidth="1"/>
    <col min="5" max="5" width="9.88671875" style="1" customWidth="1"/>
    <col min="6" max="6" width="18.44140625" style="1" customWidth="1"/>
    <col min="7" max="7" width="1.21875" style="1" customWidth="1"/>
    <col min="8" max="9" width="2.6640625" style="22" customWidth="1"/>
    <col min="10" max="12" width="2.6640625" style="1" customWidth="1"/>
    <col min="13" max="13" width="3.88671875" style="1" customWidth="1"/>
    <col min="14" max="16" width="2.6640625" style="1" customWidth="1"/>
    <col min="17" max="17" width="2.44140625" style="1" customWidth="1"/>
    <col min="18" max="22" width="2.6640625" style="1" customWidth="1"/>
    <col min="23" max="24" width="2.88671875" style="1" customWidth="1"/>
    <col min="25" max="25" width="3.44140625" style="1" customWidth="1"/>
    <col min="26" max="26" width="6" style="1" customWidth="1"/>
    <col min="27" max="29" width="7.44140625" style="1" customWidth="1"/>
    <col min="30" max="30" width="9.33203125" style="1" customWidth="1"/>
    <col min="31" max="31" width="6" style="1" customWidth="1"/>
    <col min="32" max="32" width="16.77734375" style="1" customWidth="1"/>
    <col min="33" max="33" width="18.44140625" style="1" customWidth="1"/>
    <col min="34" max="34" width="14" style="1" customWidth="1"/>
    <col min="35" max="37" width="7.44140625" style="1" customWidth="1"/>
    <col min="38" max="38" width="3.109375" style="1" hidden="1" customWidth="1" outlineLevel="1"/>
    <col min="39" max="39" width="8.88671875" style="1" hidden="1" customWidth="1" outlineLevel="1"/>
    <col min="40" max="40" width="12" style="1" hidden="1" customWidth="1" outlineLevel="1"/>
    <col min="41" max="41" width="17.88671875" style="1" hidden="1" customWidth="1" outlineLevel="1"/>
    <col min="42" max="42" width="21.21875" style="1" hidden="1" customWidth="1" outlineLevel="1"/>
    <col min="43" max="43" width="19.44140625" style="1" hidden="1" customWidth="1" outlineLevel="1"/>
    <col min="44" max="44" width="8.88671875" style="1" hidden="1" customWidth="1" outlineLevel="1"/>
    <col min="45" max="45" width="8.88671875" style="30" collapsed="1"/>
    <col min="46" max="16384" width="8.88671875" style="30"/>
  </cols>
  <sheetData>
    <row r="1" spans="1:44" ht="31.5" customHeight="1" x14ac:dyDescent="0.15">
      <c r="A1" s="249" t="s">
        <v>133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1"/>
      <c r="Z1" s="258" t="s">
        <v>95</v>
      </c>
      <c r="AA1" s="259"/>
      <c r="AB1" s="259"/>
      <c r="AC1" s="259"/>
      <c r="AD1" s="259"/>
      <c r="AE1" s="259"/>
      <c r="AF1" s="259"/>
      <c r="AG1" s="259"/>
      <c r="AH1" s="259"/>
      <c r="AI1" s="259"/>
      <c r="AJ1" s="259"/>
      <c r="AK1" s="260"/>
    </row>
    <row r="2" spans="1:44" ht="31.5" customHeight="1" x14ac:dyDescent="0.15">
      <c r="A2" s="252"/>
      <c r="B2" s="253"/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4"/>
      <c r="Z2" s="261"/>
      <c r="AA2" s="262"/>
      <c r="AB2" s="262"/>
      <c r="AC2" s="262"/>
      <c r="AD2" s="262"/>
      <c r="AE2" s="262"/>
      <c r="AF2" s="262"/>
      <c r="AG2" s="262"/>
      <c r="AH2" s="262"/>
      <c r="AI2" s="262"/>
      <c r="AJ2" s="262"/>
      <c r="AK2" s="263"/>
      <c r="AN2" s="10"/>
      <c r="AO2" s="10"/>
      <c r="AP2" s="10"/>
      <c r="AQ2" s="10"/>
      <c r="AR2" s="10"/>
    </row>
    <row r="3" spans="1:44" ht="31.5" customHeight="1" thickBot="1" x14ac:dyDescent="0.2">
      <c r="A3" s="255"/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7"/>
      <c r="Z3" s="264"/>
      <c r="AA3" s="265"/>
      <c r="AB3" s="265"/>
      <c r="AC3" s="265"/>
      <c r="AD3" s="265"/>
      <c r="AE3" s="265"/>
      <c r="AF3" s="265"/>
      <c r="AG3" s="265"/>
      <c r="AH3" s="265"/>
      <c r="AI3" s="265"/>
      <c r="AJ3" s="265"/>
      <c r="AK3" s="266"/>
      <c r="AN3" s="4" t="s">
        <v>88</v>
      </c>
      <c r="AO3" s="4"/>
      <c r="AP3" s="4"/>
      <c r="AQ3" s="4"/>
    </row>
    <row r="4" spans="1:44" ht="26.25" customHeight="1" x14ac:dyDescent="0.15">
      <c r="A4" s="5"/>
      <c r="B4" s="241"/>
      <c r="C4" s="241"/>
      <c r="D4" s="241"/>
      <c r="E4" s="241"/>
      <c r="F4" s="241"/>
      <c r="G4" s="83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7"/>
      <c r="Z4" s="80"/>
      <c r="AA4" s="81"/>
      <c r="AB4" s="81"/>
      <c r="AC4" s="81"/>
      <c r="AD4" s="81"/>
      <c r="AE4" s="81"/>
      <c r="AF4" s="81"/>
      <c r="AG4" s="81"/>
      <c r="AH4" s="27"/>
      <c r="AI4" s="2"/>
      <c r="AJ4" s="2"/>
      <c r="AK4" s="3"/>
      <c r="AN4" s="4" t="s">
        <v>87</v>
      </c>
      <c r="AO4" s="4"/>
      <c r="AP4" s="4"/>
      <c r="AQ4" s="4"/>
    </row>
    <row r="5" spans="1:44" ht="23.25" customHeight="1" x14ac:dyDescent="0.15">
      <c r="A5" s="242" t="s">
        <v>3</v>
      </c>
      <c r="B5" s="243">
        <f ca="1">TODAY()</f>
        <v>46178</v>
      </c>
      <c r="C5" s="243"/>
      <c r="D5" s="244"/>
      <c r="E5" s="245"/>
      <c r="F5" s="244"/>
      <c r="H5" s="268" t="str">
        <f>IF(B15&lt;750,"도어클로저 불가",B19)</f>
        <v>매립형 도어클로져 부착</v>
      </c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9"/>
      <c r="Z5" s="80"/>
      <c r="AA5" s="81"/>
      <c r="AB5" s="81"/>
      <c r="AC5" s="81"/>
      <c r="AD5" s="81"/>
      <c r="AE5" s="232" t="s">
        <v>3</v>
      </c>
      <c r="AF5" s="233"/>
      <c r="AG5" s="226">
        <v>45729</v>
      </c>
      <c r="AH5" s="227"/>
      <c r="AI5" s="227"/>
      <c r="AJ5" s="228"/>
      <c r="AK5" s="3"/>
      <c r="AN5" s="4" t="s">
        <v>89</v>
      </c>
      <c r="AO5" s="4"/>
      <c r="AP5" s="4"/>
      <c r="AQ5" s="4"/>
      <c r="AR5" s="9"/>
    </row>
    <row r="6" spans="1:44" ht="23.25" customHeight="1" x14ac:dyDescent="0.15">
      <c r="A6" s="242"/>
      <c r="B6" s="244"/>
      <c r="C6" s="244"/>
      <c r="D6" s="244"/>
      <c r="E6" s="245"/>
      <c r="F6" s="244"/>
      <c r="J6" s="34"/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8"/>
      <c r="V6" s="34"/>
      <c r="Y6" s="6"/>
      <c r="Z6" s="80"/>
      <c r="AA6" s="81"/>
      <c r="AB6" s="81"/>
      <c r="AC6" s="81"/>
      <c r="AD6" s="81"/>
      <c r="AE6" s="234"/>
      <c r="AF6" s="235"/>
      <c r="AG6" s="229"/>
      <c r="AH6" s="230"/>
      <c r="AI6" s="230"/>
      <c r="AJ6" s="231"/>
      <c r="AK6" s="3"/>
      <c r="AN6" s="4" t="s">
        <v>90</v>
      </c>
      <c r="AO6" s="4"/>
      <c r="AP6" s="4"/>
      <c r="AQ6" s="4"/>
      <c r="AR6" s="9"/>
    </row>
    <row r="7" spans="1:44" ht="23.25" customHeight="1" x14ac:dyDescent="0.15">
      <c r="A7" s="242" t="s">
        <v>7</v>
      </c>
      <c r="B7" s="244" t="s">
        <v>136</v>
      </c>
      <c r="C7" s="244"/>
      <c r="D7" s="244"/>
      <c r="E7" s="245"/>
      <c r="F7" s="244"/>
      <c r="J7" s="35"/>
      <c r="K7" s="36"/>
      <c r="L7" s="35"/>
      <c r="M7" s="35"/>
      <c r="N7" s="37"/>
      <c r="O7" s="37"/>
      <c r="P7" s="35"/>
      <c r="Q7" s="35"/>
      <c r="R7" s="36"/>
      <c r="S7" s="36"/>
      <c r="Y7" s="6"/>
      <c r="Z7" s="80"/>
      <c r="AA7" s="81"/>
      <c r="AB7" s="81"/>
      <c r="AC7" s="81"/>
      <c r="AD7" s="81"/>
      <c r="AE7" s="232" t="s">
        <v>7</v>
      </c>
      <c r="AF7" s="233"/>
      <c r="AG7" s="226" t="str">
        <f>B7</f>
        <v>익산)현대금속창호</v>
      </c>
      <c r="AH7" s="227"/>
      <c r="AI7" s="227"/>
      <c r="AJ7" s="228"/>
      <c r="AK7" s="3"/>
    </row>
    <row r="8" spans="1:44" ht="23.25" customHeight="1" x14ac:dyDescent="0.15">
      <c r="A8" s="242"/>
      <c r="B8" s="244"/>
      <c r="C8" s="244"/>
      <c r="D8" s="244"/>
      <c r="E8" s="245"/>
      <c r="F8" s="244"/>
      <c r="J8" s="35"/>
      <c r="K8" s="35"/>
      <c r="L8" s="35"/>
      <c r="M8" s="35"/>
      <c r="N8" s="37"/>
      <c r="O8" s="37"/>
      <c r="P8" s="35"/>
      <c r="Q8" s="270"/>
      <c r="R8" s="270"/>
      <c r="S8" s="270"/>
      <c r="T8" s="270"/>
      <c r="U8" s="270"/>
      <c r="V8" s="270"/>
      <c r="Y8" s="6"/>
      <c r="Z8" s="80"/>
      <c r="AA8" s="81"/>
      <c r="AB8" s="81"/>
      <c r="AC8" s="81"/>
      <c r="AD8" s="81"/>
      <c r="AE8" s="234"/>
      <c r="AF8" s="235"/>
      <c r="AG8" s="229"/>
      <c r="AH8" s="230"/>
      <c r="AI8" s="230"/>
      <c r="AJ8" s="231"/>
      <c r="AK8" s="3"/>
      <c r="AN8" s="28"/>
      <c r="AO8" s="28"/>
      <c r="AP8" s="10" t="str">
        <f>IF(AO9=1,"좌",IF(AO9=2,"우","양개"))</f>
        <v>우</v>
      </c>
      <c r="AQ8" s="10"/>
      <c r="AR8" s="10"/>
    </row>
    <row r="9" spans="1:44" ht="23.25" customHeight="1" x14ac:dyDescent="0.15">
      <c r="A9" s="390" t="s">
        <v>9</v>
      </c>
      <c r="B9" s="391"/>
      <c r="C9" s="392" t="s">
        <v>4</v>
      </c>
      <c r="D9" s="393"/>
      <c r="E9" s="392" t="s">
        <v>48</v>
      </c>
      <c r="F9" s="393"/>
      <c r="J9" s="35"/>
      <c r="K9" s="35"/>
      <c r="L9" s="35"/>
      <c r="M9" s="35"/>
      <c r="N9" s="37"/>
      <c r="O9" s="37"/>
      <c r="P9" s="35"/>
      <c r="Q9" s="270"/>
      <c r="R9" s="270"/>
      <c r="S9" s="270"/>
      <c r="T9" s="270"/>
      <c r="U9" s="270"/>
      <c r="V9" s="270"/>
      <c r="Y9" s="6"/>
      <c r="Z9" s="7"/>
      <c r="AE9" s="8"/>
      <c r="AK9" s="6"/>
      <c r="AN9" s="11" t="s">
        <v>1</v>
      </c>
      <c r="AO9" s="11">
        <f>IF(B17="좌경첩",1,IF(B17="우경첩",2,(IF(B17="양개 대칭",3,(IF(B17="양개 비대칭",4))))))</f>
        <v>2</v>
      </c>
      <c r="AP9" s="11" t="str">
        <f>IF(AO9=1,"좌경첩",IF(AO9=2,"우경첩","양개"))</f>
        <v>우경첩</v>
      </c>
      <c r="AQ9" s="153" t="s">
        <v>2</v>
      </c>
      <c r="AR9" s="30"/>
    </row>
    <row r="10" spans="1:44" ht="23.25" customHeight="1" x14ac:dyDescent="0.15">
      <c r="A10" s="390"/>
      <c r="B10" s="391"/>
      <c r="C10" s="394"/>
      <c r="D10" s="395"/>
      <c r="E10" s="394"/>
      <c r="F10" s="395"/>
      <c r="J10" s="35"/>
      <c r="K10" s="35"/>
      <c r="L10" s="35"/>
      <c r="M10" s="35"/>
      <c r="N10" s="35"/>
      <c r="O10" s="35"/>
      <c r="P10" s="35"/>
      <c r="Q10" s="35"/>
      <c r="R10" s="270"/>
      <c r="S10" s="270"/>
      <c r="T10" s="270"/>
      <c r="U10" s="270"/>
      <c r="V10" s="270"/>
      <c r="Y10" s="6"/>
      <c r="Z10" s="7"/>
      <c r="AA10" s="8"/>
      <c r="AB10" s="8"/>
      <c r="AC10" s="8"/>
      <c r="AD10" s="8"/>
      <c r="AE10" s="236" t="s">
        <v>0</v>
      </c>
      <c r="AF10" s="236"/>
      <c r="AG10" s="236"/>
      <c r="AH10" s="236" t="s">
        <v>4</v>
      </c>
      <c r="AI10" s="236"/>
      <c r="AJ10" s="236"/>
      <c r="AK10" s="6"/>
      <c r="AN10" s="11" t="s">
        <v>10</v>
      </c>
      <c r="AO10" s="11">
        <f>IF(B19="매립형 도어클로져 부착",1,IF(B19="없음",2))</f>
        <v>1</v>
      </c>
      <c r="AP10" s="29" t="s">
        <v>50</v>
      </c>
      <c r="AQ10" s="154" t="s">
        <v>107</v>
      </c>
      <c r="AR10" s="30"/>
    </row>
    <row r="11" spans="1:44" ht="30" customHeight="1" x14ac:dyDescent="0.15">
      <c r="A11" s="177" t="s">
        <v>88</v>
      </c>
      <c r="B11" s="178"/>
      <c r="C11" s="198">
        <v>24</v>
      </c>
      <c r="D11" s="199"/>
      <c r="E11" s="202" t="s">
        <v>135</v>
      </c>
      <c r="F11" s="203"/>
      <c r="J11" s="35"/>
      <c r="K11" s="35"/>
      <c r="L11" s="35"/>
      <c r="M11" s="35"/>
      <c r="N11" s="35"/>
      <c r="O11" s="35"/>
      <c r="P11" s="35"/>
      <c r="Q11" s="35"/>
      <c r="R11" s="270"/>
      <c r="S11" s="270"/>
      <c r="T11" s="270"/>
      <c r="U11" s="270"/>
      <c r="V11" s="270"/>
      <c r="Y11" s="6"/>
      <c r="Z11" s="7"/>
      <c r="AA11" s="8"/>
      <c r="AB11" s="8"/>
      <c r="AC11" s="8"/>
      <c r="AD11" s="8"/>
      <c r="AE11" s="236"/>
      <c r="AF11" s="236"/>
      <c r="AG11" s="236"/>
      <c r="AH11" s="236"/>
      <c r="AI11" s="236"/>
      <c r="AJ11" s="236"/>
      <c r="AK11" s="6"/>
      <c r="AN11" s="11" t="s">
        <v>16</v>
      </c>
      <c r="AO11" s="11">
        <f>IF(B21="기본",1,IF(B21="없음",2,(IF(B21="하부낮은턱",3))))</f>
        <v>3</v>
      </c>
      <c r="AP11" s="29" t="s">
        <v>51</v>
      </c>
      <c r="AQ11" s="153" t="s">
        <v>49</v>
      </c>
      <c r="AR11" s="30"/>
    </row>
    <row r="12" spans="1:44" ht="30.75" customHeight="1" x14ac:dyDescent="0.15">
      <c r="A12" s="179"/>
      <c r="B12" s="180"/>
      <c r="C12" s="200"/>
      <c r="D12" s="201"/>
      <c r="E12" s="204"/>
      <c r="F12" s="205"/>
      <c r="G12" s="12"/>
      <c r="J12" s="35"/>
      <c r="K12" s="35"/>
      <c r="L12" s="35"/>
      <c r="M12" s="35"/>
      <c r="N12" s="35"/>
      <c r="O12" s="35"/>
      <c r="P12" s="35"/>
      <c r="Q12" s="35"/>
      <c r="R12" s="270"/>
      <c r="S12" s="270"/>
      <c r="T12" s="270"/>
      <c r="U12" s="270"/>
      <c r="V12" s="270"/>
      <c r="Y12" s="6"/>
      <c r="Z12" s="7"/>
      <c r="AA12" s="8"/>
      <c r="AB12" s="8"/>
      <c r="AC12" s="8"/>
      <c r="AD12" s="8"/>
      <c r="AE12" s="216" t="s">
        <v>88</v>
      </c>
      <c r="AF12" s="216"/>
      <c r="AG12" s="216"/>
      <c r="AH12" s="176">
        <f>C11</f>
        <v>24</v>
      </c>
      <c r="AI12" s="176"/>
      <c r="AJ12" s="176"/>
      <c r="AK12" s="6"/>
      <c r="AL12" s="12"/>
      <c r="AN12" s="11" t="s">
        <v>48</v>
      </c>
      <c r="AO12" s="11">
        <f>IF(E11="밖으로 당기는문",1,IF(E11="안으로 미는문",2))</f>
        <v>1</v>
      </c>
      <c r="AP12" s="29" t="str">
        <f>IF(AO12=1,"out",IF(AO12=2,"in"))</f>
        <v>out</v>
      </c>
      <c r="AR12" s="30"/>
    </row>
    <row r="13" spans="1:44" ht="23.25" customHeight="1" x14ac:dyDescent="0.15">
      <c r="A13" s="397" t="s">
        <v>19</v>
      </c>
      <c r="B13" s="399" t="s">
        <v>91</v>
      </c>
      <c r="C13" s="392"/>
      <c r="D13" s="392"/>
      <c r="E13" s="392" t="s">
        <v>20</v>
      </c>
      <c r="F13" s="393"/>
      <c r="G13" s="12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X13" s="38"/>
      <c r="Y13" s="6"/>
      <c r="Z13" s="7"/>
      <c r="AA13" s="8"/>
      <c r="AB13" s="8"/>
      <c r="AC13" s="8"/>
      <c r="AD13" s="8"/>
      <c r="AE13" s="216"/>
      <c r="AF13" s="216"/>
      <c r="AG13" s="216"/>
      <c r="AH13" s="176"/>
      <c r="AI13" s="176"/>
      <c r="AJ13" s="176"/>
      <c r="AK13" s="6"/>
      <c r="AL13" s="12"/>
      <c r="AN13" s="11" t="s">
        <v>117</v>
      </c>
      <c r="AO13" s="11" t="str">
        <f>IF(B20="추가부착",IF(E15&lt;=2300,"2",IF(E15&gt;2300,"3"))+1,IF(E15&lt;=2300,"2",IF(E15&gt;2300,"3","")))</f>
        <v>2</v>
      </c>
      <c r="AP13" s="11" t="str">
        <f>AP9&amp;AO13&amp;"개"</f>
        <v>우경첩2개</v>
      </c>
      <c r="AR13" s="30"/>
    </row>
    <row r="14" spans="1:44" ht="23.25" customHeight="1" x14ac:dyDescent="0.15">
      <c r="A14" s="398"/>
      <c r="B14" s="400"/>
      <c r="C14" s="394"/>
      <c r="D14" s="394"/>
      <c r="E14" s="394"/>
      <c r="F14" s="395"/>
      <c r="G14" s="12"/>
      <c r="I14" s="39"/>
      <c r="J14" s="40"/>
      <c r="K14" s="13"/>
      <c r="L14" s="13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8"/>
      <c r="X14" s="13"/>
      <c r="Y14" s="6"/>
      <c r="Z14" s="7"/>
      <c r="AE14" s="216">
        <v>1</v>
      </c>
      <c r="AF14" s="208" t="s">
        <v>12</v>
      </c>
      <c r="AG14" s="63" t="s">
        <v>13</v>
      </c>
      <c r="AH14" s="63" t="s">
        <v>14</v>
      </c>
      <c r="AI14" s="187" t="s">
        <v>15</v>
      </c>
      <c r="AJ14" s="188"/>
      <c r="AK14" s="6"/>
      <c r="AN14" s="153"/>
      <c r="AO14" s="11"/>
      <c r="AP14" s="11"/>
      <c r="AQ14" s="10"/>
      <c r="AR14" s="10"/>
    </row>
    <row r="15" spans="1:44" ht="23.25" customHeight="1" x14ac:dyDescent="0.15">
      <c r="A15" s="398"/>
      <c r="B15" s="282">
        <v>1100</v>
      </c>
      <c r="C15" s="283"/>
      <c r="D15" s="283"/>
      <c r="E15" s="286">
        <v>2095</v>
      </c>
      <c r="F15" s="287"/>
      <c r="G15" s="12"/>
      <c r="I15" s="13"/>
      <c r="J15" s="41"/>
      <c r="K15" s="13"/>
      <c r="L15" s="13"/>
      <c r="M15" s="35"/>
      <c r="N15" s="42"/>
      <c r="O15" s="42"/>
      <c r="P15" s="35"/>
      <c r="Q15" s="35"/>
      <c r="R15" s="35"/>
      <c r="S15" s="35"/>
      <c r="T15" s="35"/>
      <c r="U15" s="35"/>
      <c r="V15" s="35"/>
      <c r="W15" s="13"/>
      <c r="X15" s="38"/>
      <c r="Y15" s="6"/>
      <c r="Z15" s="7"/>
      <c r="AE15" s="216"/>
      <c r="AF15" s="208"/>
      <c r="AG15" s="184">
        <v>500</v>
      </c>
      <c r="AH15" s="181">
        <v>1000</v>
      </c>
      <c r="AI15" s="189">
        <f ca="1">OFFSET(AN23,MATCH(C11,AN24:AN37,0),1,1,1)</f>
        <v>300</v>
      </c>
      <c r="AJ15" s="190"/>
      <c r="AK15" s="6"/>
      <c r="AN15" s="153"/>
      <c r="AO15" s="11"/>
      <c r="AP15" s="11"/>
      <c r="AQ15" s="14"/>
      <c r="AR15" s="10"/>
    </row>
    <row r="16" spans="1:44" ht="23.25" customHeight="1" x14ac:dyDescent="0.15">
      <c r="A16" s="398"/>
      <c r="B16" s="284"/>
      <c r="C16" s="285"/>
      <c r="D16" s="285"/>
      <c r="E16" s="288"/>
      <c r="F16" s="289"/>
      <c r="G16" s="12"/>
      <c r="H16" s="13"/>
      <c r="I16" s="1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13"/>
      <c r="X16" s="13"/>
      <c r="Y16" s="6"/>
      <c r="Z16" s="7"/>
      <c r="AE16" s="216"/>
      <c r="AF16" s="208"/>
      <c r="AG16" s="185"/>
      <c r="AH16" s="182"/>
      <c r="AI16" s="191"/>
      <c r="AJ16" s="192"/>
      <c r="AK16" s="6"/>
      <c r="AN16" s="32"/>
      <c r="AO16" s="33">
        <v>0</v>
      </c>
      <c r="AP16" s="32"/>
      <c r="AQ16" s="14"/>
      <c r="AR16" s="10"/>
    </row>
    <row r="17" spans="1:47" ht="23.25" customHeight="1" x14ac:dyDescent="0.15">
      <c r="A17" s="398" t="s">
        <v>1</v>
      </c>
      <c r="B17" s="271" t="s">
        <v>130</v>
      </c>
      <c r="C17" s="272"/>
      <c r="D17" s="272"/>
      <c r="E17" s="408" t="s">
        <v>98</v>
      </c>
      <c r="F17" s="408"/>
      <c r="G17" s="12"/>
      <c r="H17" s="13"/>
      <c r="I17" s="13"/>
      <c r="J17" s="44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13"/>
      <c r="X17" s="13"/>
      <c r="Y17" s="6"/>
      <c r="Z17" s="7"/>
      <c r="AE17" s="216"/>
      <c r="AF17" s="208"/>
      <c r="AG17" s="186"/>
      <c r="AH17" s="183"/>
      <c r="AI17" s="193"/>
      <c r="AJ17" s="194"/>
      <c r="AK17" s="6"/>
      <c r="AN17" s="22" t="s">
        <v>55</v>
      </c>
      <c r="AO17" s="22" t="str">
        <f>F19</f>
        <v>레바키</v>
      </c>
      <c r="AP17" s="15" t="str">
        <f>AP9&amp;AO17</f>
        <v>우경첩레바키</v>
      </c>
      <c r="AQ17" s="16"/>
    </row>
    <row r="18" spans="1:47" ht="23.25" customHeight="1" x14ac:dyDescent="0.15">
      <c r="A18" s="398"/>
      <c r="B18" s="273"/>
      <c r="C18" s="274"/>
      <c r="D18" s="274"/>
      <c r="E18" s="408"/>
      <c r="F18" s="408"/>
      <c r="H18" s="13"/>
      <c r="I18" s="13"/>
      <c r="J18" s="45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13"/>
      <c r="X18" s="13"/>
      <c r="Y18" s="6"/>
      <c r="Z18" s="7"/>
      <c r="AE18" s="216"/>
      <c r="AF18" s="208" t="s">
        <v>22</v>
      </c>
      <c r="AG18" s="396">
        <f>AG15-90</f>
        <v>410</v>
      </c>
      <c r="AH18" s="404">
        <f>AH15-120</f>
        <v>880</v>
      </c>
      <c r="AI18" s="224" t="str">
        <f ca="1">OFFSET(AN23,MATCH(C11,AN24:AN37,0),3,1,1)</f>
        <v>소</v>
      </c>
      <c r="AJ18" s="225">
        <f ca="1">OFFSET(AN23,MATCH(C11,AN24:AN37,0),2,1,1)</f>
        <v>308</v>
      </c>
      <c r="AK18" s="6"/>
      <c r="AP18" s="22" t="str">
        <f>AP8&amp;AO16&amp;AP12</f>
        <v>우0out</v>
      </c>
    </row>
    <row r="19" spans="1:47" ht="42.75" customHeight="1" x14ac:dyDescent="0.15">
      <c r="A19" s="164" t="s">
        <v>114</v>
      </c>
      <c r="B19" s="300" t="s">
        <v>121</v>
      </c>
      <c r="C19" s="300"/>
      <c r="D19" s="300"/>
      <c r="E19" s="405" t="s">
        <v>25</v>
      </c>
      <c r="F19" s="206" t="s">
        <v>119</v>
      </c>
      <c r="H19" s="13"/>
      <c r="I19" s="13"/>
      <c r="J19" s="46"/>
      <c r="K19" s="281"/>
      <c r="L19" s="281"/>
      <c r="M19" s="46"/>
      <c r="N19" s="47"/>
      <c r="O19" s="47"/>
      <c r="P19" s="47"/>
      <c r="Q19" s="47"/>
      <c r="R19" s="47"/>
      <c r="S19" s="47"/>
      <c r="T19" s="47"/>
      <c r="U19" s="47"/>
      <c r="V19" s="47"/>
      <c r="W19" s="13"/>
      <c r="X19" s="13"/>
      <c r="Y19" s="6"/>
      <c r="Z19" s="7"/>
      <c r="AE19" s="216"/>
      <c r="AF19" s="208"/>
      <c r="AG19" s="396"/>
      <c r="AH19" s="404"/>
      <c r="AI19" s="224"/>
      <c r="AJ19" s="225"/>
      <c r="AK19" s="6"/>
      <c r="AN19" s="23"/>
      <c r="AO19" s="31"/>
    </row>
    <row r="20" spans="1:47" ht="42.75" customHeight="1" x14ac:dyDescent="0.15">
      <c r="A20" s="164" t="s">
        <v>115</v>
      </c>
      <c r="B20" s="301" t="s">
        <v>118</v>
      </c>
      <c r="C20" s="302"/>
      <c r="D20" s="162" t="str">
        <f>AO13&amp;"개"</f>
        <v>2개</v>
      </c>
      <c r="E20" s="406"/>
      <c r="F20" s="207"/>
      <c r="H20" s="13"/>
      <c r="I20" s="13"/>
      <c r="J20" s="46"/>
      <c r="K20" s="46"/>
      <c r="L20" s="46"/>
      <c r="M20" s="46"/>
      <c r="N20" s="48"/>
      <c r="O20" s="48"/>
      <c r="P20" s="49"/>
      <c r="Q20" s="49"/>
      <c r="R20" s="50"/>
      <c r="S20" s="50"/>
      <c r="T20" s="51"/>
      <c r="U20" s="51"/>
      <c r="V20" s="13"/>
      <c r="W20" s="13"/>
      <c r="X20" s="13"/>
      <c r="Y20" s="17"/>
      <c r="Z20" s="7"/>
      <c r="AE20" s="216"/>
      <c r="AF20" s="208" t="s">
        <v>24</v>
      </c>
      <c r="AG20" s="407">
        <f>AG15-98</f>
        <v>402</v>
      </c>
      <c r="AH20" s="401">
        <f>AH15-97</f>
        <v>903</v>
      </c>
      <c r="AI20" s="402">
        <f>AH12</f>
        <v>24</v>
      </c>
      <c r="AJ20" s="220"/>
      <c r="AK20" s="6"/>
      <c r="AN20" s="31"/>
      <c r="AO20" s="31"/>
    </row>
    <row r="21" spans="1:47" ht="23.25" customHeight="1" x14ac:dyDescent="0.15">
      <c r="A21" s="398" t="s">
        <v>26</v>
      </c>
      <c r="B21" s="271" t="s">
        <v>137</v>
      </c>
      <c r="C21" s="272"/>
      <c r="D21" s="272"/>
      <c r="E21" s="403" t="s">
        <v>47</v>
      </c>
      <c r="F21" s="308">
        <v>1000</v>
      </c>
      <c r="H21" s="13"/>
      <c r="I21" s="13"/>
      <c r="J21" s="13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13"/>
      <c r="W21" s="13"/>
      <c r="X21" s="13"/>
      <c r="Y21" s="17"/>
      <c r="Z21" s="7"/>
      <c r="AE21" s="216"/>
      <c r="AF21" s="208"/>
      <c r="AG21" s="407"/>
      <c r="AH21" s="401"/>
      <c r="AI21" s="220"/>
      <c r="AJ21" s="220"/>
      <c r="AK21" s="6"/>
      <c r="AN21" s="31"/>
      <c r="AO21" s="31"/>
    </row>
    <row r="22" spans="1:47" ht="23.25" customHeight="1" x14ac:dyDescent="0.15">
      <c r="A22" s="398"/>
      <c r="B22" s="273"/>
      <c r="C22" s="274"/>
      <c r="D22" s="274"/>
      <c r="E22" s="403"/>
      <c r="F22" s="309"/>
      <c r="K22" s="52"/>
      <c r="L22" s="53"/>
      <c r="M22" s="53"/>
      <c r="N22" s="53"/>
      <c r="O22" s="53"/>
      <c r="P22" s="53"/>
      <c r="Q22" s="53"/>
      <c r="R22" s="53"/>
      <c r="S22" s="53"/>
      <c r="T22" s="53"/>
      <c r="U22" s="53"/>
      <c r="Y22" s="17"/>
      <c r="Z22" s="7"/>
      <c r="AK22" s="6"/>
      <c r="AN22" s="69" t="str">
        <f>IF(F21=1000,"손잡이기본1000","손잡이높이변경" &amp; F21)</f>
        <v>손잡이기본1000</v>
      </c>
      <c r="AO22" s="31"/>
    </row>
    <row r="23" spans="1:47" ht="23.25" customHeight="1" x14ac:dyDescent="0.15">
      <c r="A23" s="158"/>
      <c r="B23" s="413" t="s">
        <v>27</v>
      </c>
      <c r="C23" s="414"/>
      <c r="D23" s="414" t="s">
        <v>28</v>
      </c>
      <c r="E23" s="415"/>
      <c r="F23" s="159" t="s">
        <v>15</v>
      </c>
      <c r="G23" s="21"/>
      <c r="H23" s="13"/>
      <c r="L23" s="53"/>
      <c r="M23" s="53"/>
      <c r="N23" s="53"/>
      <c r="O23" s="53"/>
      <c r="P23" s="53"/>
      <c r="Q23" s="53"/>
      <c r="R23" s="53"/>
      <c r="S23" s="53"/>
      <c r="T23" s="53"/>
      <c r="U23" s="53"/>
      <c r="X23" s="13"/>
      <c r="Y23" s="6"/>
      <c r="Z23" s="7"/>
      <c r="AE23" s="293"/>
      <c r="AF23" s="208" t="s">
        <v>12</v>
      </c>
      <c r="AG23" s="139" t="s">
        <v>13</v>
      </c>
      <c r="AH23" s="139" t="s">
        <v>14</v>
      </c>
      <c r="AI23" s="237" t="s">
        <v>15</v>
      </c>
      <c r="AJ23" s="238"/>
      <c r="AK23" s="17"/>
      <c r="AN23" s="64" t="s">
        <v>83</v>
      </c>
      <c r="AO23" s="64" t="s">
        <v>81</v>
      </c>
      <c r="AP23" s="65" t="s">
        <v>82</v>
      </c>
      <c r="AQ23" s="65" t="s">
        <v>21</v>
      </c>
    </row>
    <row r="24" spans="1:47" ht="23.25" customHeight="1" x14ac:dyDescent="0.15">
      <c r="A24" s="332" t="s">
        <v>29</v>
      </c>
      <c r="B24" s="310">
        <f>B15-37.5-37.7</f>
        <v>1024.8</v>
      </c>
      <c r="C24" s="311"/>
      <c r="D24" s="279">
        <f>IF(AO11=1,E15-37.5-37.5-2,IF(AO11=2,E15-37.5-8.5-2,IF(AO11=3,E15-37.5-5-8.5-2)))</f>
        <v>2042</v>
      </c>
      <c r="E24" s="280"/>
      <c r="F24" s="355">
        <f ca="1">OFFSET(AN23,MATCH(C11,AN24:AN37,0),1,1,1)</f>
        <v>300</v>
      </c>
      <c r="G24" s="21"/>
      <c r="J24" s="307"/>
      <c r="K24" s="307"/>
      <c r="L24" s="307"/>
      <c r="M24" s="307"/>
      <c r="N24" s="54"/>
      <c r="O24" s="54"/>
      <c r="P24" s="54"/>
      <c r="Q24" s="54"/>
      <c r="R24" s="54"/>
      <c r="S24" s="54"/>
      <c r="T24" s="54"/>
      <c r="U24" s="54"/>
      <c r="V24" s="54"/>
      <c r="Y24" s="6"/>
      <c r="Z24" s="7"/>
      <c r="AE24" s="294"/>
      <c r="AF24" s="208"/>
      <c r="AG24" s="184">
        <v>1000</v>
      </c>
      <c r="AH24" s="181">
        <v>2000</v>
      </c>
      <c r="AI24" s="232">
        <f ca="1">AI15</f>
        <v>300</v>
      </c>
      <c r="AJ24" s="233"/>
      <c r="AK24" s="17"/>
      <c r="AN24" s="140">
        <v>4</v>
      </c>
      <c r="AO24" s="66">
        <v>700</v>
      </c>
      <c r="AP24" s="66">
        <v>409</v>
      </c>
      <c r="AQ24" s="141" t="s">
        <v>84</v>
      </c>
    </row>
    <row r="25" spans="1:47" ht="23.25" customHeight="1" x14ac:dyDescent="0.15">
      <c r="A25" s="347"/>
      <c r="B25" s="409"/>
      <c r="C25" s="410"/>
      <c r="D25" s="417"/>
      <c r="E25" s="418"/>
      <c r="F25" s="355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  <c r="Y25" s="6"/>
      <c r="Z25" s="18"/>
      <c r="AA25" s="13"/>
      <c r="AB25" s="13"/>
      <c r="AC25" s="13"/>
      <c r="AD25" s="13"/>
      <c r="AE25" s="294"/>
      <c r="AF25" s="208"/>
      <c r="AG25" s="185"/>
      <c r="AH25" s="182"/>
      <c r="AI25" s="239"/>
      <c r="AJ25" s="240"/>
      <c r="AK25" s="17"/>
      <c r="AN25" s="140">
        <v>5</v>
      </c>
      <c r="AO25" s="66">
        <v>700</v>
      </c>
      <c r="AP25" s="66">
        <v>343</v>
      </c>
      <c r="AQ25" s="141" t="s">
        <v>84</v>
      </c>
    </row>
    <row r="26" spans="1:47" ht="23.25" customHeight="1" x14ac:dyDescent="0.15">
      <c r="A26" s="347"/>
      <c r="B26" s="411"/>
      <c r="C26" s="412"/>
      <c r="D26" s="419"/>
      <c r="E26" s="420"/>
      <c r="F26" s="355"/>
      <c r="H26" s="312" t="str">
        <f>IF($E$11="밖으로 당기는문","※물구멍타공※","")</f>
        <v>※물구멍타공※</v>
      </c>
      <c r="I26" s="312"/>
      <c r="J26" s="312"/>
      <c r="K26" s="312"/>
      <c r="L26" s="312"/>
      <c r="M26" s="312"/>
      <c r="N26" s="312"/>
      <c r="O26" s="312"/>
      <c r="P26" s="312"/>
      <c r="Q26" s="312"/>
      <c r="R26" s="312"/>
      <c r="S26" s="312"/>
      <c r="T26" s="312"/>
      <c r="U26" s="312"/>
      <c r="V26" s="312"/>
      <c r="W26" s="312"/>
      <c r="X26" s="312"/>
      <c r="Y26" s="6"/>
      <c r="Z26" s="18"/>
      <c r="AA26" s="13"/>
      <c r="AB26" s="13"/>
      <c r="AC26" s="13"/>
      <c r="AD26" s="13"/>
      <c r="AE26" s="294"/>
      <c r="AF26" s="208"/>
      <c r="AG26" s="186"/>
      <c r="AH26" s="183"/>
      <c r="AI26" s="234"/>
      <c r="AJ26" s="235"/>
      <c r="AK26" s="6"/>
      <c r="AN26" s="140">
        <v>6</v>
      </c>
      <c r="AO26" s="66">
        <v>700</v>
      </c>
      <c r="AP26" s="66">
        <v>308</v>
      </c>
      <c r="AQ26" s="141" t="s">
        <v>84</v>
      </c>
    </row>
    <row r="27" spans="1:47" ht="23.25" customHeight="1" x14ac:dyDescent="0.45">
      <c r="A27" s="332" t="s">
        <v>30</v>
      </c>
      <c r="B27" s="335">
        <f>B24-157</f>
        <v>867.8</v>
      </c>
      <c r="C27" s="336"/>
      <c r="D27" s="337">
        <f>D24-157</f>
        <v>1885</v>
      </c>
      <c r="E27" s="338"/>
      <c r="F27" s="58" t="str">
        <f ca="1">OFFSET(AN23,MATCH(C11,AN24:AN37,0),3,1,1)</f>
        <v>소</v>
      </c>
      <c r="Y27" s="6"/>
      <c r="Z27" s="18"/>
      <c r="AA27" s="13"/>
      <c r="AB27" s="13"/>
      <c r="AC27" s="13"/>
      <c r="AD27" s="13"/>
      <c r="AE27" s="294"/>
      <c r="AF27" s="208" t="s">
        <v>22</v>
      </c>
      <c r="AG27" s="396">
        <f>AG24-90</f>
        <v>910</v>
      </c>
      <c r="AH27" s="404">
        <f>AH24-120</f>
        <v>1880</v>
      </c>
      <c r="AI27" s="221" t="str">
        <f ca="1">AI18</f>
        <v>소</v>
      </c>
      <c r="AJ27" s="222">
        <f ca="1">AJ18</f>
        <v>308</v>
      </c>
      <c r="AK27" s="6"/>
      <c r="AN27" s="140">
        <v>8</v>
      </c>
      <c r="AO27" s="66">
        <v>500</v>
      </c>
      <c r="AP27" s="66">
        <v>308</v>
      </c>
      <c r="AQ27" s="141" t="s">
        <v>84</v>
      </c>
      <c r="AU27" s="30">
        <v>31</v>
      </c>
    </row>
    <row r="28" spans="1:47" ht="23.25" customHeight="1" x14ac:dyDescent="0.15">
      <c r="A28" s="333"/>
      <c r="B28" s="426"/>
      <c r="C28" s="427"/>
      <c r="D28" s="428"/>
      <c r="E28" s="429"/>
      <c r="F28" s="356">
        <f ca="1">OFFSET(AN23,MATCH(C11,AN24:AN37,0),2,1,1)</f>
        <v>308</v>
      </c>
      <c r="H28" s="55"/>
      <c r="Y28" s="6"/>
      <c r="Z28" s="7"/>
      <c r="AE28" s="294"/>
      <c r="AF28" s="208"/>
      <c r="AG28" s="396"/>
      <c r="AH28" s="404"/>
      <c r="AI28" s="221"/>
      <c r="AJ28" s="222"/>
      <c r="AK28" s="6"/>
      <c r="AN28" s="140">
        <v>10</v>
      </c>
      <c r="AO28" s="66">
        <v>300</v>
      </c>
      <c r="AP28" s="66">
        <v>308</v>
      </c>
      <c r="AQ28" s="141" t="s">
        <v>84</v>
      </c>
      <c r="AU28" s="30">
        <v>14</v>
      </c>
    </row>
    <row r="29" spans="1:47" ht="23.25" customHeight="1" x14ac:dyDescent="0.15">
      <c r="A29" s="334"/>
      <c r="B29" s="343"/>
      <c r="C29" s="344"/>
      <c r="D29" s="345"/>
      <c r="E29" s="346"/>
      <c r="F29" s="357"/>
      <c r="Y29" s="6"/>
      <c r="Z29" s="7"/>
      <c r="AE29" s="294"/>
      <c r="AF29" s="296" t="s">
        <v>24</v>
      </c>
      <c r="AG29" s="421">
        <f>AG24-98</f>
        <v>902</v>
      </c>
      <c r="AH29" s="423">
        <f>AH24-97</f>
        <v>1903</v>
      </c>
      <c r="AI29" s="416">
        <f>AH12</f>
        <v>24</v>
      </c>
      <c r="AJ29" s="349"/>
      <c r="AK29" s="6"/>
      <c r="AN29" s="140">
        <v>12</v>
      </c>
      <c r="AO29" s="66">
        <v>150</v>
      </c>
      <c r="AP29" s="66">
        <v>308</v>
      </c>
      <c r="AQ29" s="141" t="s">
        <v>129</v>
      </c>
      <c r="AU29" s="30">
        <v>38</v>
      </c>
    </row>
    <row r="30" spans="1:47" ht="23.25" customHeight="1" x14ac:dyDescent="0.15">
      <c r="A30" s="326" t="s">
        <v>31</v>
      </c>
      <c r="B30" s="430">
        <f>B24-165</f>
        <v>859.8</v>
      </c>
      <c r="C30" s="431"/>
      <c r="D30" s="436">
        <f>D24-165</f>
        <v>1877</v>
      </c>
      <c r="E30" s="437"/>
      <c r="F30" s="352">
        <f>C11</f>
        <v>24</v>
      </c>
      <c r="Y30" s="6"/>
      <c r="Z30" s="7"/>
      <c r="AE30" s="295"/>
      <c r="AF30" s="297"/>
      <c r="AG30" s="422"/>
      <c r="AH30" s="424"/>
      <c r="AI30" s="350"/>
      <c r="AJ30" s="351"/>
      <c r="AK30" s="6"/>
      <c r="AN30" s="142">
        <v>16</v>
      </c>
      <c r="AO30" s="143">
        <v>500</v>
      </c>
      <c r="AP30" s="143">
        <v>308</v>
      </c>
      <c r="AQ30" s="144" t="s">
        <v>85</v>
      </c>
    </row>
    <row r="31" spans="1:47" ht="23.25" customHeight="1" x14ac:dyDescent="0.15">
      <c r="A31" s="327"/>
      <c r="B31" s="432"/>
      <c r="C31" s="433"/>
      <c r="D31" s="438"/>
      <c r="E31" s="439"/>
      <c r="F31" s="353"/>
      <c r="H31" s="21"/>
      <c r="L31" s="55"/>
      <c r="Y31" s="6"/>
      <c r="Z31" s="7"/>
      <c r="AE31" s="8"/>
      <c r="AK31" s="6"/>
      <c r="AN31" s="147">
        <v>18</v>
      </c>
      <c r="AO31" s="143">
        <v>300</v>
      </c>
      <c r="AP31" s="143">
        <v>308</v>
      </c>
      <c r="AQ31" s="144" t="s">
        <v>85</v>
      </c>
    </row>
    <row r="32" spans="1:47" ht="23.25" customHeight="1" x14ac:dyDescent="0.15">
      <c r="A32" s="242"/>
      <c r="B32" s="434"/>
      <c r="C32" s="435"/>
      <c r="D32" s="440"/>
      <c r="E32" s="441"/>
      <c r="F32" s="354"/>
      <c r="H32" s="56"/>
      <c r="Y32" s="6"/>
      <c r="Z32" s="7"/>
      <c r="AE32" s="8"/>
      <c r="AK32" s="6"/>
      <c r="AN32" s="147">
        <v>20</v>
      </c>
      <c r="AO32" s="143">
        <v>343</v>
      </c>
      <c r="AP32" s="143">
        <v>343</v>
      </c>
      <c r="AQ32" s="144" t="s">
        <v>85</v>
      </c>
    </row>
    <row r="33" spans="1:44" ht="18" customHeight="1" x14ac:dyDescent="0.15">
      <c r="A33" s="24" t="s">
        <v>120</v>
      </c>
      <c r="H33" s="21"/>
      <c r="Y33" s="6"/>
      <c r="Z33" s="7"/>
      <c r="AE33" s="8"/>
      <c r="AK33" s="6"/>
      <c r="AN33" s="148">
        <v>22</v>
      </c>
      <c r="AO33" s="146">
        <v>500</v>
      </c>
      <c r="AP33" s="146">
        <v>308</v>
      </c>
      <c r="AQ33" s="145" t="s">
        <v>86</v>
      </c>
    </row>
    <row r="34" spans="1:44" ht="18" customHeight="1" x14ac:dyDescent="0.15">
      <c r="A34" s="24" t="s">
        <v>32</v>
      </c>
      <c r="H34" s="21"/>
      <c r="N34" s="34"/>
      <c r="O34" s="34"/>
      <c r="Y34" s="6"/>
      <c r="Z34" s="7"/>
      <c r="AK34" s="6"/>
      <c r="AN34" s="148">
        <v>24</v>
      </c>
      <c r="AO34" s="146">
        <v>300</v>
      </c>
      <c r="AP34" s="146">
        <v>308</v>
      </c>
      <c r="AQ34" s="145" t="s">
        <v>86</v>
      </c>
    </row>
    <row r="35" spans="1:44" ht="18" customHeight="1" x14ac:dyDescent="0.15">
      <c r="A35" s="24" t="s">
        <v>33</v>
      </c>
      <c r="Y35" s="6"/>
      <c r="Z35" s="7"/>
      <c r="AK35" s="6"/>
      <c r="AN35" s="148">
        <v>26</v>
      </c>
      <c r="AO35" s="146">
        <v>343</v>
      </c>
      <c r="AP35" s="146">
        <v>343</v>
      </c>
      <c r="AQ35" s="145" t="s">
        <v>86</v>
      </c>
    </row>
    <row r="36" spans="1:44" ht="18" customHeight="1" x14ac:dyDescent="0.15">
      <c r="A36" s="25"/>
      <c r="B36" s="13"/>
      <c r="C36" s="13"/>
      <c r="Y36" s="82" t="s">
        <v>134</v>
      </c>
      <c r="Z36" s="7"/>
      <c r="AH36" s="26"/>
      <c r="AI36" s="26"/>
      <c r="AK36" s="82" t="s">
        <v>131</v>
      </c>
      <c r="AN36" s="148">
        <v>28</v>
      </c>
      <c r="AO36" s="146">
        <v>343</v>
      </c>
      <c r="AP36" s="146" t="s">
        <v>97</v>
      </c>
      <c r="AQ36" s="145" t="s">
        <v>86</v>
      </c>
    </row>
    <row r="37" spans="1:44" ht="18" customHeight="1" x14ac:dyDescent="0.15">
      <c r="A37" s="316" t="s">
        <v>34</v>
      </c>
      <c r="B37" s="84"/>
      <c r="C37" s="85"/>
      <c r="D37" s="86"/>
      <c r="E37" s="86"/>
      <c r="F37" s="87" t="s">
        <v>5</v>
      </c>
      <c r="G37" s="387" t="s">
        <v>79</v>
      </c>
      <c r="H37" s="388"/>
      <c r="I37" s="389"/>
      <c r="J37" s="88" t="s">
        <v>36</v>
      </c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90"/>
      <c r="W37" s="313" t="s">
        <v>37</v>
      </c>
      <c r="X37" s="314"/>
      <c r="Y37" s="315"/>
      <c r="Z37" s="316" t="s">
        <v>34</v>
      </c>
      <c r="AA37" s="84"/>
      <c r="AB37" s="85"/>
      <c r="AC37" s="85"/>
      <c r="AD37" s="85"/>
      <c r="AE37" s="85"/>
      <c r="AF37" s="119" t="s">
        <v>5</v>
      </c>
      <c r="AG37" s="119" t="s">
        <v>35</v>
      </c>
      <c r="AH37" s="313" t="s">
        <v>36</v>
      </c>
      <c r="AI37" s="314"/>
      <c r="AJ37" s="381"/>
      <c r="AK37" s="120" t="s">
        <v>35</v>
      </c>
      <c r="AL37" s="2"/>
      <c r="AM37" s="2"/>
      <c r="AR37" s="2"/>
    </row>
    <row r="38" spans="1:44" ht="18" customHeight="1" x14ac:dyDescent="0.15">
      <c r="A38" s="317"/>
      <c r="B38" s="91" t="str">
        <f>IF(OR(B7="에벤에셀(원주)",B7="",B7="에벤에셀도어",B7="원주)에벤에셀",B7="성보기업"),"※물구멍 폴리에 타공 ","")</f>
        <v/>
      </c>
      <c r="C38" s="92"/>
      <c r="D38" s="92"/>
      <c r="E38" s="92"/>
      <c r="F38" s="93" t="s">
        <v>6</v>
      </c>
      <c r="G38" s="382"/>
      <c r="H38" s="382"/>
      <c r="I38" s="383"/>
      <c r="J38" s="94" t="s">
        <v>38</v>
      </c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6"/>
      <c r="W38" s="384"/>
      <c r="X38" s="385"/>
      <c r="Y38" s="386"/>
      <c r="Z38" s="317"/>
      <c r="AA38" s="121"/>
      <c r="AB38" s="122"/>
      <c r="AC38" s="122"/>
      <c r="AD38" s="122"/>
      <c r="AE38" s="122"/>
      <c r="AF38" s="93" t="s">
        <v>6</v>
      </c>
      <c r="AG38" s="93"/>
      <c r="AH38" s="321" t="s">
        <v>6</v>
      </c>
      <c r="AI38" s="322"/>
      <c r="AJ38" s="323"/>
      <c r="AK38" s="123"/>
      <c r="AL38" s="2"/>
      <c r="AM38" s="2"/>
      <c r="AR38" s="2"/>
    </row>
    <row r="39" spans="1:44" ht="18" customHeight="1" x14ac:dyDescent="0.15">
      <c r="A39" s="317"/>
      <c r="B39" s="91"/>
      <c r="C39" s="92"/>
      <c r="D39" s="92"/>
      <c r="E39" s="92"/>
      <c r="F39" s="97" t="s">
        <v>8</v>
      </c>
      <c r="G39" s="324"/>
      <c r="H39" s="324"/>
      <c r="I39" s="325"/>
      <c r="J39" s="98" t="s">
        <v>39</v>
      </c>
      <c r="K39" s="99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1"/>
      <c r="W39" s="378"/>
      <c r="X39" s="379"/>
      <c r="Y39" s="380"/>
      <c r="Z39" s="317"/>
      <c r="AA39" s="121"/>
      <c r="AB39" s="122"/>
      <c r="AC39" s="122"/>
      <c r="AD39" s="122"/>
      <c r="AE39" s="122"/>
      <c r="AF39" s="97" t="s">
        <v>8</v>
      </c>
      <c r="AG39" s="97"/>
      <c r="AH39" s="173" t="s">
        <v>8</v>
      </c>
      <c r="AI39" s="174"/>
      <c r="AJ39" s="175"/>
      <c r="AK39" s="124"/>
      <c r="AL39" s="2"/>
      <c r="AM39" s="2"/>
      <c r="AN39" s="1" t="s">
        <v>94</v>
      </c>
      <c r="AR39" s="2"/>
    </row>
    <row r="40" spans="1:44" ht="18" customHeight="1" x14ac:dyDescent="0.15">
      <c r="A40" s="317"/>
      <c r="B40" s="102" t="s">
        <v>40</v>
      </c>
      <c r="C40" s="103"/>
      <c r="D40" s="92"/>
      <c r="E40" s="92"/>
      <c r="F40" s="97" t="s">
        <v>4</v>
      </c>
      <c r="G40" s="324"/>
      <c r="H40" s="324"/>
      <c r="I40" s="325"/>
      <c r="J40" s="104" t="s">
        <v>41</v>
      </c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6"/>
      <c r="W40" s="366"/>
      <c r="X40" s="366"/>
      <c r="Y40" s="367"/>
      <c r="Z40" s="317"/>
      <c r="AA40" s="121"/>
      <c r="AB40" s="122"/>
      <c r="AC40" s="122"/>
      <c r="AD40" s="122"/>
      <c r="AE40" s="122"/>
      <c r="AF40" s="97" t="s">
        <v>4</v>
      </c>
      <c r="AG40" s="97"/>
      <c r="AH40" s="372" t="s">
        <v>42</v>
      </c>
      <c r="AI40" s="373"/>
      <c r="AJ40" s="374"/>
      <c r="AK40" s="124"/>
      <c r="AL40" s="2"/>
      <c r="AM40" s="2"/>
      <c r="AR40" s="2"/>
    </row>
    <row r="41" spans="1:44" ht="18" customHeight="1" x14ac:dyDescent="0.15">
      <c r="A41" s="317"/>
      <c r="B41" s="91"/>
      <c r="C41" s="92"/>
      <c r="D41" s="92"/>
      <c r="E41" s="92"/>
      <c r="F41" s="97" t="s">
        <v>1</v>
      </c>
      <c r="G41" s="324"/>
      <c r="H41" s="324"/>
      <c r="I41" s="325"/>
      <c r="J41" s="104" t="s">
        <v>43</v>
      </c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6"/>
      <c r="W41" s="366"/>
      <c r="X41" s="366"/>
      <c r="Y41" s="367"/>
      <c r="Z41" s="317"/>
      <c r="AA41" s="121"/>
      <c r="AB41" s="122"/>
      <c r="AC41" s="122"/>
      <c r="AD41" s="122"/>
      <c r="AE41" s="122"/>
      <c r="AF41" s="125"/>
      <c r="AG41" s="125"/>
      <c r="AH41" s="126"/>
      <c r="AI41" s="127"/>
      <c r="AJ41" s="128"/>
      <c r="AK41" s="129"/>
      <c r="AL41" s="2"/>
      <c r="AM41" s="2" t="s">
        <v>122</v>
      </c>
      <c r="AR41" s="2"/>
    </row>
    <row r="42" spans="1:44" ht="18" customHeight="1" x14ac:dyDescent="0.15">
      <c r="A42" s="317"/>
      <c r="B42" s="107" t="str">
        <f>IF(OR(B7="제주도)성보기업",B7="제주)성보기업",B7="제주-성보기업",B7="제주도-성보기업",B7="성보기업"),"유리고무 부착하지말고 별도로줄것","")</f>
        <v/>
      </c>
      <c r="C42" s="108"/>
      <c r="D42" s="92"/>
      <c r="E42" s="92"/>
      <c r="F42" s="97" t="s">
        <v>11</v>
      </c>
      <c r="G42" s="324"/>
      <c r="H42" s="324"/>
      <c r="I42" s="325"/>
      <c r="J42" s="109" t="s">
        <v>44</v>
      </c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1"/>
      <c r="W42" s="375"/>
      <c r="X42" s="376"/>
      <c r="Y42" s="377"/>
      <c r="Z42" s="317"/>
      <c r="AA42" s="121"/>
      <c r="AB42" s="122"/>
      <c r="AC42" s="122"/>
      <c r="AD42" s="122"/>
      <c r="AE42" s="122"/>
      <c r="AF42" s="130"/>
      <c r="AG42" s="130"/>
      <c r="AH42" s="126"/>
      <c r="AI42" s="127"/>
      <c r="AJ42" s="128"/>
      <c r="AK42" s="129"/>
      <c r="AL42" s="2"/>
      <c r="AM42" s="2"/>
      <c r="AN42" s="2">
        <v>260422</v>
      </c>
      <c r="AO42" s="425" t="s">
        <v>123</v>
      </c>
      <c r="AP42" s="425"/>
      <c r="AQ42" s="425"/>
      <c r="AR42" s="2"/>
    </row>
    <row r="43" spans="1:44" ht="18" customHeight="1" x14ac:dyDescent="0.15">
      <c r="A43" s="318"/>
      <c r="B43" s="112"/>
      <c r="C43" s="113"/>
      <c r="D43" s="113"/>
      <c r="E43" s="113"/>
      <c r="F43" s="97" t="s">
        <v>17</v>
      </c>
      <c r="G43" s="324"/>
      <c r="H43" s="324"/>
      <c r="I43" s="325"/>
      <c r="J43" s="114" t="s">
        <v>45</v>
      </c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1"/>
      <c r="W43" s="378"/>
      <c r="X43" s="379"/>
      <c r="Y43" s="380"/>
      <c r="Z43" s="318"/>
      <c r="AA43" s="131"/>
      <c r="AB43" s="132"/>
      <c r="AC43" s="132"/>
      <c r="AD43" s="132"/>
      <c r="AE43" s="132"/>
      <c r="AF43" s="133" t="s">
        <v>80</v>
      </c>
      <c r="AG43" s="134"/>
      <c r="AH43" s="135"/>
      <c r="AI43" s="136"/>
      <c r="AJ43" s="137"/>
      <c r="AK43" s="138"/>
      <c r="AL43" s="2"/>
      <c r="AM43" s="2"/>
      <c r="AN43" s="2"/>
      <c r="AO43" s="2" t="s">
        <v>124</v>
      </c>
      <c r="AP43" s="2"/>
      <c r="AQ43" s="2"/>
      <c r="AR43" s="2"/>
    </row>
    <row r="44" spans="1:44" ht="18" customHeight="1" x14ac:dyDescent="0.15">
      <c r="A44" s="358" t="s">
        <v>73</v>
      </c>
      <c r="B44" s="360" t="s">
        <v>128</v>
      </c>
      <c r="C44" s="361"/>
      <c r="D44" s="361"/>
      <c r="E44" s="362"/>
      <c r="F44" s="97" t="s">
        <v>18</v>
      </c>
      <c r="G44" s="324"/>
      <c r="H44" s="324"/>
      <c r="I44" s="325"/>
      <c r="J44" s="104" t="s">
        <v>46</v>
      </c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6"/>
      <c r="W44" s="366"/>
      <c r="X44" s="366"/>
      <c r="Y44" s="367"/>
      <c r="Z44" s="167" t="s">
        <v>93</v>
      </c>
      <c r="AA44" s="168"/>
      <c r="AB44" s="168"/>
      <c r="AC44" s="168"/>
      <c r="AD44" s="168"/>
      <c r="AE44" s="168"/>
      <c r="AF44" s="168"/>
      <c r="AG44" s="168"/>
      <c r="AH44" s="168"/>
      <c r="AI44" s="168"/>
      <c r="AJ44" s="168"/>
      <c r="AK44" s="169"/>
      <c r="AL44" s="2"/>
      <c r="AM44" s="2"/>
      <c r="AN44" s="2"/>
      <c r="AO44" s="2"/>
      <c r="AP44" s="2"/>
      <c r="AQ44" s="2"/>
      <c r="AR44" s="2"/>
    </row>
    <row r="45" spans="1:44" ht="18" customHeight="1" thickBot="1" x14ac:dyDescent="0.2">
      <c r="A45" s="359"/>
      <c r="B45" s="363"/>
      <c r="C45" s="364"/>
      <c r="D45" s="364"/>
      <c r="E45" s="365"/>
      <c r="F45" s="115" t="s">
        <v>80</v>
      </c>
      <c r="G45" s="368"/>
      <c r="H45" s="368"/>
      <c r="I45" s="368"/>
      <c r="J45" s="116" t="s">
        <v>42</v>
      </c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8"/>
      <c r="W45" s="369"/>
      <c r="X45" s="370"/>
      <c r="Y45" s="371"/>
      <c r="Z45" s="170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2"/>
      <c r="AL45" s="2"/>
      <c r="AM45" s="2"/>
      <c r="AN45" s="2"/>
      <c r="AO45" s="2"/>
      <c r="AP45" s="2"/>
      <c r="AQ45" s="2"/>
      <c r="AR45" s="2"/>
    </row>
    <row r="46" spans="1:44" ht="25.5" customHeight="1" x14ac:dyDescent="0.15">
      <c r="AN46" s="2"/>
      <c r="AO46" s="2"/>
      <c r="AP46" s="2"/>
      <c r="AQ46" s="2"/>
    </row>
    <row r="47" spans="1:44" ht="25.5" customHeight="1" x14ac:dyDescent="0.15">
      <c r="AN47" s="2"/>
      <c r="AO47" s="2"/>
      <c r="AP47" s="2"/>
      <c r="AQ47" s="2"/>
    </row>
    <row r="48" spans="1:44" ht="25.5" customHeight="1" x14ac:dyDescent="0.15">
      <c r="AN48" s="2"/>
      <c r="AO48" s="2"/>
      <c r="AP48" s="2"/>
      <c r="AQ48" s="2"/>
    </row>
    <row r="49" spans="40:43" ht="25.5" customHeight="1" x14ac:dyDescent="0.15">
      <c r="AN49" s="2"/>
      <c r="AO49" s="2"/>
      <c r="AP49" s="2"/>
      <c r="AQ49" s="2"/>
    </row>
    <row r="50" spans="40:43" ht="25.5" customHeight="1" x14ac:dyDescent="0.15">
      <c r="AN50" s="2"/>
      <c r="AO50" s="2"/>
      <c r="AP50" s="2"/>
      <c r="AQ50" s="2"/>
    </row>
    <row r="60" spans="40:43" ht="18" customHeight="1" x14ac:dyDescent="0.15"/>
    <row r="61" spans="40:43" ht="18" customHeight="1" x14ac:dyDescent="0.15"/>
    <row r="62" spans="40:43" ht="18" customHeight="1" x14ac:dyDescent="0.15"/>
    <row r="63" spans="40:43" ht="18" customHeight="1" x14ac:dyDescent="0.15"/>
    <row r="64" spans="40:43" ht="18" customHeight="1" x14ac:dyDescent="0.15"/>
    <row r="65" spans="1:44" ht="18" customHeight="1" x14ac:dyDescent="0.15"/>
    <row r="66" spans="1:44" ht="18" customHeight="1" x14ac:dyDescent="0.15"/>
    <row r="67" spans="1:44" ht="18" customHeight="1" x14ac:dyDescent="0.15"/>
    <row r="68" spans="1:44" ht="18" customHeight="1" x14ac:dyDescent="0.15"/>
    <row r="69" spans="1:44" ht="18" customHeight="1" x14ac:dyDescent="0.15"/>
    <row r="70" spans="1:44" ht="18" customHeight="1" x14ac:dyDescent="0.15"/>
    <row r="71" spans="1:44" ht="18" customHeight="1" x14ac:dyDescent="0.15"/>
    <row r="72" spans="1:44" ht="18" customHeight="1" x14ac:dyDescent="0.15"/>
    <row r="73" spans="1:44" s="62" customFormat="1" ht="24.75" customHeight="1" x14ac:dyDescent="0.15">
      <c r="A73" s="59"/>
      <c r="B73" s="60"/>
      <c r="C73" s="60"/>
      <c r="D73" s="60"/>
      <c r="E73" s="60"/>
      <c r="F73" s="60"/>
      <c r="G73" s="60"/>
      <c r="H73" s="61"/>
      <c r="I73" s="61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1"/>
      <c r="AO73" s="1"/>
      <c r="AP73" s="1"/>
      <c r="AQ73" s="1"/>
      <c r="AR73" s="60"/>
    </row>
    <row r="74" spans="1:44" ht="18" customHeight="1" x14ac:dyDescent="0.15"/>
    <row r="75" spans="1:44" ht="18" customHeight="1" x14ac:dyDescent="0.15"/>
    <row r="76" spans="1:44" ht="18" customHeight="1" x14ac:dyDescent="0.15"/>
    <row r="77" spans="1:44" ht="18" customHeight="1" x14ac:dyDescent="0.15"/>
    <row r="78" spans="1:44" ht="18" customHeight="1" x14ac:dyDescent="0.15">
      <c r="AN78" s="60"/>
      <c r="AO78" s="60"/>
      <c r="AP78" s="60"/>
      <c r="AQ78" s="60"/>
    </row>
    <row r="79" spans="1:44" ht="18" customHeight="1" x14ac:dyDescent="0.15"/>
    <row r="80" spans="1:44" ht="18" customHeight="1" x14ac:dyDescent="0.15"/>
    <row r="81" spans="1:44" ht="18" customHeight="1" x14ac:dyDescent="0.15"/>
    <row r="82" spans="1:44" ht="9" customHeight="1" x14ac:dyDescent="0.15"/>
    <row r="83" spans="1:44" ht="9" customHeight="1" x14ac:dyDescent="0.15"/>
    <row r="84" spans="1:44" ht="18" customHeight="1" x14ac:dyDescent="0.15"/>
    <row r="85" spans="1:44" ht="18" customHeight="1" x14ac:dyDescent="0.15"/>
    <row r="86" spans="1:44" ht="18" customHeight="1" x14ac:dyDescent="0.15"/>
    <row r="87" spans="1:44" ht="18" customHeight="1" x14ac:dyDescent="0.15"/>
    <row r="88" spans="1:44" ht="18" customHeight="1" x14ac:dyDescent="0.15"/>
    <row r="89" spans="1:44" ht="18" customHeight="1" x14ac:dyDescent="0.15"/>
    <row r="90" spans="1:44" ht="18" customHeight="1" x14ac:dyDescent="0.15"/>
    <row r="91" spans="1:44" ht="18" customHeight="1" x14ac:dyDescent="0.15"/>
    <row r="92" spans="1:44" ht="18" customHeight="1" x14ac:dyDescent="0.15"/>
    <row r="93" spans="1:44" ht="18" customHeight="1" x14ac:dyDescent="0.15"/>
    <row r="94" spans="1:44" ht="18" customHeight="1" x14ac:dyDescent="0.15"/>
    <row r="95" spans="1:44" ht="18" customHeight="1" x14ac:dyDescent="0.15"/>
    <row r="96" spans="1:44" s="62" customFormat="1" ht="24.75" customHeight="1" x14ac:dyDescent="0.15">
      <c r="A96" s="59"/>
      <c r="B96" s="60"/>
      <c r="C96" s="60"/>
      <c r="D96" s="60"/>
      <c r="E96" s="60"/>
      <c r="F96" s="60"/>
      <c r="G96" s="60"/>
      <c r="H96" s="61"/>
      <c r="I96" s="61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1"/>
      <c r="AO96" s="1"/>
      <c r="AP96" s="1"/>
      <c r="AQ96" s="1"/>
      <c r="AR96" s="60"/>
    </row>
    <row r="97" spans="40:43" ht="18" customHeight="1" x14ac:dyDescent="0.15"/>
    <row r="98" spans="40:43" ht="18" customHeight="1" x14ac:dyDescent="0.15"/>
    <row r="99" spans="40:43" ht="18" customHeight="1" x14ac:dyDescent="0.15"/>
    <row r="100" spans="40:43" ht="18" customHeight="1" x14ac:dyDescent="0.15"/>
    <row r="101" spans="40:43" ht="18" customHeight="1" x14ac:dyDescent="0.15">
      <c r="AN101" s="60"/>
      <c r="AO101" s="60"/>
      <c r="AP101" s="60"/>
      <c r="AQ101" s="60"/>
    </row>
    <row r="102" spans="40:43" ht="18" customHeight="1" x14ac:dyDescent="0.15"/>
    <row r="103" spans="40:43" ht="18" customHeight="1" x14ac:dyDescent="0.15"/>
    <row r="104" spans="40:43" ht="18" customHeight="1" x14ac:dyDescent="0.15"/>
    <row r="105" spans="40:43" ht="9" customHeight="1" x14ac:dyDescent="0.15"/>
    <row r="106" spans="40:43" ht="9" customHeight="1" x14ac:dyDescent="0.15"/>
    <row r="107" spans="40:43" ht="18" customHeight="1" x14ac:dyDescent="0.15"/>
    <row r="108" spans="40:43" ht="17.45" customHeight="1" x14ac:dyDescent="0.15"/>
    <row r="109" spans="40:43" ht="17.45" customHeight="1" x14ac:dyDescent="0.15"/>
    <row r="110" spans="40:43" ht="17.45" customHeight="1" x14ac:dyDescent="0.15"/>
    <row r="111" spans="40:43" ht="17.45" customHeight="1" x14ac:dyDescent="0.15"/>
    <row r="112" spans="40:43" ht="17.45" customHeight="1" x14ac:dyDescent="0.15"/>
    <row r="113" ht="17.45" customHeight="1" x14ac:dyDescent="0.15"/>
    <row r="114" ht="17.45" customHeight="1" x14ac:dyDescent="0.15"/>
    <row r="115" ht="17.45" customHeight="1" x14ac:dyDescent="0.15"/>
    <row r="116" ht="17.45" customHeight="1" x14ac:dyDescent="0.15"/>
    <row r="117" ht="17.45" customHeight="1" x14ac:dyDescent="0.15"/>
    <row r="118" ht="17.45" customHeight="1" x14ac:dyDescent="0.15"/>
    <row r="119" ht="17.45" customHeight="1" x14ac:dyDescent="0.15"/>
    <row r="120" ht="17.45" customHeight="1" x14ac:dyDescent="0.15"/>
    <row r="121" ht="17.45" customHeight="1" x14ac:dyDescent="0.15"/>
    <row r="122" ht="17.45" customHeight="1" x14ac:dyDescent="0.15"/>
    <row r="123" ht="17.45" customHeight="1" x14ac:dyDescent="0.15"/>
    <row r="124" ht="17.45" customHeight="1" x14ac:dyDescent="0.15"/>
    <row r="125" ht="17.45" customHeight="1" x14ac:dyDescent="0.15"/>
    <row r="126" ht="17.45" customHeight="1" x14ac:dyDescent="0.15"/>
    <row r="127" ht="17.45" customHeight="1" x14ac:dyDescent="0.15"/>
    <row r="128" ht="17.25" customHeight="1" x14ac:dyDescent="0.15"/>
    <row r="129" spans="1:44" ht="17.25" customHeight="1" x14ac:dyDescent="0.15"/>
    <row r="130" spans="1:44" ht="17.25" customHeight="1" x14ac:dyDescent="0.15"/>
    <row r="131" spans="1:44" ht="17.25" customHeight="1" x14ac:dyDescent="0.15"/>
    <row r="132" spans="1:44" ht="17.25" customHeight="1" x14ac:dyDescent="0.15"/>
    <row r="133" spans="1:44" ht="17.25" customHeight="1" x14ac:dyDescent="0.15"/>
    <row r="134" spans="1:44" ht="17.25" customHeight="1" x14ac:dyDescent="0.15"/>
    <row r="135" spans="1:44" ht="17.25" customHeight="1" x14ac:dyDescent="0.15"/>
    <row r="136" spans="1:44" ht="17.25" customHeight="1" x14ac:dyDescent="0.15"/>
    <row r="137" spans="1:44" ht="17.25" customHeight="1" x14ac:dyDescent="0.15"/>
    <row r="138" spans="1:44" ht="17.25" customHeight="1" x14ac:dyDescent="0.15"/>
    <row r="139" spans="1:44" s="62" customFormat="1" ht="24.75" customHeight="1" x14ac:dyDescent="0.15">
      <c r="A139" s="59"/>
      <c r="B139" s="60"/>
      <c r="C139" s="60"/>
      <c r="D139" s="60"/>
      <c r="E139" s="60"/>
      <c r="F139" s="60"/>
      <c r="G139" s="60"/>
      <c r="H139" s="61"/>
      <c r="I139" s="61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1"/>
      <c r="AO139" s="1"/>
      <c r="AP139" s="1"/>
      <c r="AQ139" s="1"/>
      <c r="AR139" s="60"/>
    </row>
    <row r="140" spans="1:44" ht="17.25" customHeight="1" x14ac:dyDescent="0.15"/>
    <row r="141" spans="1:44" ht="17.25" customHeight="1" x14ac:dyDescent="0.15"/>
    <row r="142" spans="1:44" ht="17.25" customHeight="1" x14ac:dyDescent="0.15"/>
    <row r="143" spans="1:44" ht="17.25" customHeight="1" x14ac:dyDescent="0.15"/>
    <row r="144" spans="1:44" ht="17.25" customHeight="1" x14ac:dyDescent="0.15">
      <c r="AN144" s="60"/>
      <c r="AO144" s="60"/>
      <c r="AP144" s="60"/>
      <c r="AQ144" s="60"/>
    </row>
    <row r="145" ht="17.25" customHeight="1" x14ac:dyDescent="0.15"/>
    <row r="146" ht="17.25" customHeight="1" x14ac:dyDescent="0.15"/>
    <row r="147" ht="17.25" customHeight="1" x14ac:dyDescent="0.15"/>
    <row r="148" ht="8.1" customHeight="1" x14ac:dyDescent="0.15"/>
    <row r="149" ht="8.1" customHeight="1" x14ac:dyDescent="0.15"/>
    <row r="150" ht="17.25" customHeight="1" x14ac:dyDescent="0.15"/>
    <row r="151" ht="17.25" customHeight="1" x14ac:dyDescent="0.15"/>
    <row r="152" ht="17.25" customHeight="1" x14ac:dyDescent="0.15"/>
    <row r="153" ht="17.25" customHeight="1" x14ac:dyDescent="0.15"/>
  </sheetData>
  <mergeCells count="117">
    <mergeCell ref="AO42:AQ42"/>
    <mergeCell ref="Z44:AK45"/>
    <mergeCell ref="G45:I45"/>
    <mergeCell ref="W45:Y45"/>
    <mergeCell ref="B20:C20"/>
    <mergeCell ref="A44:A45"/>
    <mergeCell ref="B44:E45"/>
    <mergeCell ref="G44:I44"/>
    <mergeCell ref="W44:Y44"/>
    <mergeCell ref="A37:A43"/>
    <mergeCell ref="G37:I37"/>
    <mergeCell ref="W37:Y37"/>
    <mergeCell ref="A24:A26"/>
    <mergeCell ref="A30:A32"/>
    <mergeCell ref="F30:F32"/>
    <mergeCell ref="A27:A29"/>
    <mergeCell ref="B27:C29"/>
    <mergeCell ref="D27:E29"/>
    <mergeCell ref="B30:C32"/>
    <mergeCell ref="D30:E32"/>
    <mergeCell ref="G40:I40"/>
    <mergeCell ref="W40:Y40"/>
    <mergeCell ref="AH40:AJ40"/>
    <mergeCell ref="G41:I41"/>
    <mergeCell ref="W41:Y41"/>
    <mergeCell ref="G42:I42"/>
    <mergeCell ref="W42:Y43"/>
    <mergeCell ref="G43:I43"/>
    <mergeCell ref="Z37:Z43"/>
    <mergeCell ref="AH37:AJ37"/>
    <mergeCell ref="G38:I38"/>
    <mergeCell ref="W38:Y39"/>
    <mergeCell ref="AH38:AJ38"/>
    <mergeCell ref="G39:I39"/>
    <mergeCell ref="AH39:AJ39"/>
    <mergeCell ref="AG24:AG26"/>
    <mergeCell ref="AH24:AH26"/>
    <mergeCell ref="AI24:AJ26"/>
    <mergeCell ref="J25:V25"/>
    <mergeCell ref="H26:X26"/>
    <mergeCell ref="B24:C26"/>
    <mergeCell ref="B23:C23"/>
    <mergeCell ref="D23:E23"/>
    <mergeCell ref="AE23:AE30"/>
    <mergeCell ref="AF23:AF26"/>
    <mergeCell ref="AI23:AJ23"/>
    <mergeCell ref="F24:F26"/>
    <mergeCell ref="J24:M24"/>
    <mergeCell ref="AI29:AJ30"/>
    <mergeCell ref="D24:E26"/>
    <mergeCell ref="AI27:AI28"/>
    <mergeCell ref="AJ27:AJ28"/>
    <mergeCell ref="F28:F29"/>
    <mergeCell ref="AF29:AF30"/>
    <mergeCell ref="AG29:AG30"/>
    <mergeCell ref="AH29:AH30"/>
    <mergeCell ref="AF27:AF28"/>
    <mergeCell ref="AG27:AG28"/>
    <mergeCell ref="AH27:AH28"/>
    <mergeCell ref="AH20:AH21"/>
    <mergeCell ref="AI20:AJ21"/>
    <mergeCell ref="A21:A22"/>
    <mergeCell ref="B21:D22"/>
    <mergeCell ref="E21:E22"/>
    <mergeCell ref="F21:F22"/>
    <mergeCell ref="AH18:AH19"/>
    <mergeCell ref="AI18:AI19"/>
    <mergeCell ref="AJ18:AJ19"/>
    <mergeCell ref="E19:E20"/>
    <mergeCell ref="F19:F20"/>
    <mergeCell ref="K19:L19"/>
    <mergeCell ref="AF20:AF21"/>
    <mergeCell ref="AG20:AG21"/>
    <mergeCell ref="A17:A18"/>
    <mergeCell ref="AF18:AF19"/>
    <mergeCell ref="B17:D18"/>
    <mergeCell ref="E17:F18"/>
    <mergeCell ref="AE14:AE21"/>
    <mergeCell ref="AF14:AF17"/>
    <mergeCell ref="AI14:AJ14"/>
    <mergeCell ref="B15:D16"/>
    <mergeCell ref="E15:F16"/>
    <mergeCell ref="AG15:AG17"/>
    <mergeCell ref="AH15:AH17"/>
    <mergeCell ref="AI15:AJ17"/>
    <mergeCell ref="AG18:AG19"/>
    <mergeCell ref="AH10:AJ11"/>
    <mergeCell ref="A11:B11"/>
    <mergeCell ref="C11:D12"/>
    <mergeCell ref="E11:F12"/>
    <mergeCell ref="A12:B12"/>
    <mergeCell ref="AE12:AG13"/>
    <mergeCell ref="AH12:AJ13"/>
    <mergeCell ref="A13:A16"/>
    <mergeCell ref="B13:D14"/>
    <mergeCell ref="E13:F14"/>
    <mergeCell ref="B19:D19"/>
    <mergeCell ref="A7:A8"/>
    <mergeCell ref="B7:F8"/>
    <mergeCell ref="AE7:AF8"/>
    <mergeCell ref="AG7:AJ8"/>
    <mergeCell ref="Q8:V9"/>
    <mergeCell ref="A9:B10"/>
    <mergeCell ref="C9:D10"/>
    <mergeCell ref="E9:F10"/>
    <mergeCell ref="R10:V12"/>
    <mergeCell ref="AE10:AG11"/>
    <mergeCell ref="A1:Y3"/>
    <mergeCell ref="Z1:AK3"/>
    <mergeCell ref="B4:F4"/>
    <mergeCell ref="H4:Y4"/>
    <mergeCell ref="A5:A6"/>
    <mergeCell ref="B5:F6"/>
    <mergeCell ref="H5:Y5"/>
    <mergeCell ref="AE5:AF6"/>
    <mergeCell ref="AG5:AJ6"/>
    <mergeCell ref="K6:U6"/>
  </mergeCells>
  <phoneticPr fontId="10" type="noConversion"/>
  <conditionalFormatting sqref="A11:B11">
    <cfRule type="expression" dxfId="3" priority="2">
      <formula>$A$11="도장"</formula>
    </cfRule>
  </conditionalFormatting>
  <conditionalFormatting sqref="B24 B27 B30 D24 D27 D30">
    <cfRule type="expression" dxfId="2" priority="7">
      <formula>$AO$9=4</formula>
    </cfRule>
  </conditionalFormatting>
  <conditionalFormatting sqref="AE27:AJ30 AE25:AF26 AE23:AI24">
    <cfRule type="expression" dxfId="1" priority="10">
      <formula>$AE$23=""</formula>
    </cfRule>
  </conditionalFormatting>
  <conditionalFormatting sqref="B19:B20">
    <cfRule type="expression" dxfId="0" priority="1">
      <formula>$B$15&lt;750</formula>
    </cfRule>
  </conditionalFormatting>
  <dataValidations count="8">
    <dataValidation type="list" allowBlank="1" showInputMessage="1" showErrorMessage="1" sqref="F19:F20" xr:uid="{BF5137DF-15D8-4AF6-826E-80A2FAB56B39}">
      <formula1>$AQ$9:$AQ$11</formula1>
    </dataValidation>
    <dataValidation type="list" allowBlank="1" showInputMessage="1" showErrorMessage="1" sqref="E11:F12" xr:uid="{51427759-67E9-4779-BCE4-4A169D95ECEF}">
      <formula1>"밖으로 당기는문,안으로 미는문"</formula1>
    </dataValidation>
    <dataValidation type="list" allowBlank="1" showInputMessage="1" showErrorMessage="1" sqref="AE12" xr:uid="{655FBF7D-6F1D-454B-8E77-52F25A80A8BD}">
      <formula1>$AN$3:$AN$6</formula1>
    </dataValidation>
    <dataValidation type="list" allowBlank="1" showInputMessage="1" showErrorMessage="1" sqref="A11" xr:uid="{BAB8EFEB-6AB0-4CF2-9C9D-906540BF80CF}">
      <formula1>"블랙,백색,실버,도장"</formula1>
    </dataValidation>
    <dataValidation type="list" allowBlank="1" showInputMessage="1" showErrorMessage="1" sqref="B19" xr:uid="{BA687B34-65B2-4BF9-853F-BDCD7AAAABAF}">
      <formula1>"매립형 도어클로져 부착,없음"</formula1>
    </dataValidation>
    <dataValidation type="list" allowBlank="1" showInputMessage="1" showErrorMessage="1" sqref="B21:D22" xr:uid="{D73BE66E-C044-4E79-8756-6D2B74336FF6}">
      <formula1>"기본,없음,하부낮은턱"</formula1>
    </dataValidation>
    <dataValidation type="list" allowBlank="1" showInputMessage="1" showErrorMessage="1" sqref="B17" xr:uid="{CBF29479-7F96-4D23-88D2-2FCB6B19EE86}">
      <formula1>"좌경첩,우경첩"</formula1>
    </dataValidation>
    <dataValidation type="list" allowBlank="1" showInputMessage="1" showErrorMessage="1" sqref="B20" xr:uid="{423164BF-39E7-4BA6-9AEC-2B774E7BD72E}">
      <formula1>"기본,추가부착"</formula1>
    </dataValidation>
  </dataValidations>
  <printOptions horizontalCentered="1" verticalCentered="1"/>
  <pageMargins left="0.31496062992125984" right="0.31496062992125984" top="0.39370078740157483" bottom="0.78740157480314965" header="0.11811023622047245" footer="0"/>
  <pageSetup paperSize="9" scale="69" orientation="portrait" horizontalDpi="360" verticalDpi="360" r:id="rId1"/>
  <headerFooter>
    <oddFooter>&amp;R&amp;G</oddFooter>
  </headerFooter>
  <colBreaks count="1" manualBreakCount="1">
    <brk id="25" max="1048575" man="1"/>
  </colBreaks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FCDC-9492-49CA-99E0-029F40774307}">
  <sheetPr codeName="Sheet2"/>
  <dimension ref="A1:AQ24"/>
  <sheetViews>
    <sheetView showGridLines="0" topLeftCell="A7" zoomScale="85" zoomScaleNormal="85" workbookViewId="0">
      <selection activeCell="D5" sqref="D4:D5"/>
    </sheetView>
  </sheetViews>
  <sheetFormatPr defaultColWidth="8.88671875" defaultRowHeight="129.75" customHeight="1" x14ac:dyDescent="0.15"/>
  <cols>
    <col min="1" max="1" width="21.88671875" style="152" bestFit="1" customWidth="1"/>
    <col min="2" max="2" width="17" style="1" customWidth="1"/>
    <col min="3" max="3" width="3.109375" style="73" customWidth="1"/>
    <col min="4" max="4" width="12.44140625" style="71" customWidth="1"/>
    <col min="5" max="5" width="37.5546875" style="71" customWidth="1"/>
    <col min="6" max="7" width="2.6640625" style="22" customWidth="1"/>
    <col min="8" max="9" width="2.6640625" style="1" customWidth="1"/>
    <col min="10" max="10" width="29" style="1" customWidth="1"/>
    <col min="11" max="11" width="3.88671875" style="1" customWidth="1"/>
    <col min="12" max="14" width="2.6640625" style="1" customWidth="1"/>
    <col min="15" max="15" width="2.44140625" style="1" customWidth="1"/>
    <col min="16" max="20" width="2.6640625" style="1" customWidth="1"/>
    <col min="21" max="23" width="2.88671875" style="1" customWidth="1"/>
    <col min="24" max="24" width="3.6640625" style="1" customWidth="1"/>
    <col min="25" max="28" width="7.44140625" style="1" customWidth="1"/>
    <col min="29" max="29" width="6" style="1" customWidth="1"/>
    <col min="30" max="30" width="17.6640625" style="1" customWidth="1"/>
    <col min="31" max="32" width="14" style="1" customWidth="1"/>
    <col min="33" max="35" width="7.44140625" style="1" customWidth="1"/>
    <col min="36" max="36" width="3.109375" style="1" customWidth="1"/>
    <col min="37" max="37" width="8.88671875" style="1"/>
    <col min="38" max="38" width="12" style="1" bestFit="1" customWidth="1"/>
    <col min="39" max="39" width="11.33203125" style="1" customWidth="1"/>
    <col min="40" max="40" width="21.21875" style="1" customWidth="1"/>
    <col min="41" max="41" width="12.33203125" style="1" customWidth="1"/>
    <col min="42" max="43" width="8.88671875" style="1"/>
    <col min="44" max="160" width="2.33203125" style="30" customWidth="1"/>
    <col min="161" max="16384" width="8.88671875" style="30"/>
  </cols>
  <sheetData>
    <row r="1" spans="1:43" ht="47.25" customHeight="1" x14ac:dyDescent="0.15">
      <c r="A1" s="149" t="s">
        <v>52</v>
      </c>
      <c r="B1" s="72" t="s">
        <v>53</v>
      </c>
      <c r="C1" s="77"/>
      <c r="D1" s="76" t="s">
        <v>71</v>
      </c>
      <c r="E1" s="72" t="s">
        <v>72</v>
      </c>
      <c r="F1" s="70"/>
      <c r="G1" s="70"/>
      <c r="H1" s="70"/>
      <c r="I1" s="7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</row>
    <row r="2" spans="1:43" ht="162" customHeight="1" x14ac:dyDescent="0.15">
      <c r="A2" s="150" t="s">
        <v>56</v>
      </c>
      <c r="B2" s="30"/>
      <c r="C2" s="30"/>
      <c r="D2" s="79" t="s">
        <v>64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</row>
    <row r="3" spans="1:43" ht="162" customHeight="1" x14ac:dyDescent="0.15">
      <c r="A3" s="150" t="s">
        <v>57</v>
      </c>
      <c r="B3" s="30"/>
      <c r="C3" s="30"/>
      <c r="D3" s="79" t="s">
        <v>65</v>
      </c>
      <c r="E3" s="30"/>
      <c r="F3" s="30"/>
      <c r="G3" s="30"/>
      <c r="H3" s="30"/>
      <c r="I3" s="30"/>
      <c r="J3" s="74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</row>
    <row r="4" spans="1:43" ht="162" customHeight="1" x14ac:dyDescent="0.15">
      <c r="A4" s="150" t="s">
        <v>109</v>
      </c>
      <c r="B4" s="30"/>
      <c r="C4" s="30"/>
      <c r="D4" s="79" t="s">
        <v>66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</row>
    <row r="5" spans="1:43" ht="162" customHeight="1" x14ac:dyDescent="0.15">
      <c r="A5" s="150" t="s">
        <v>58</v>
      </c>
      <c r="B5" s="30"/>
      <c r="C5" s="30"/>
      <c r="D5" s="79" t="s">
        <v>69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</row>
    <row r="6" spans="1:43" ht="162" customHeight="1" x14ac:dyDescent="0.15">
      <c r="A6" s="150" t="s">
        <v>59</v>
      </c>
      <c r="B6" s="30"/>
      <c r="C6" s="30"/>
      <c r="D6" s="79" t="s">
        <v>68</v>
      </c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</row>
    <row r="7" spans="1:43" ht="162" customHeight="1" x14ac:dyDescent="0.15">
      <c r="A7" s="160" t="s">
        <v>108</v>
      </c>
      <c r="B7" s="74"/>
      <c r="C7" s="30"/>
      <c r="D7" s="79" t="s">
        <v>67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</row>
    <row r="8" spans="1:43" ht="162" customHeight="1" x14ac:dyDescent="0.15">
      <c r="A8" s="150" t="s">
        <v>62</v>
      </c>
      <c r="B8" s="30"/>
      <c r="C8" s="30"/>
      <c r="D8" s="79" t="s">
        <v>70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</row>
    <row r="9" spans="1:43" ht="162" customHeight="1" x14ac:dyDescent="0.15">
      <c r="A9" s="150" t="s">
        <v>63</v>
      </c>
      <c r="B9" s="30"/>
      <c r="C9" s="30"/>
      <c r="D9" s="155" t="s">
        <v>74</v>
      </c>
      <c r="E9" s="156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</row>
    <row r="10" spans="1:43" ht="162" customHeight="1" x14ac:dyDescent="0.15">
      <c r="A10" s="150" t="s">
        <v>110</v>
      </c>
      <c r="B10" s="30"/>
      <c r="C10" s="30"/>
      <c r="D10" s="157" t="s">
        <v>99</v>
      </c>
      <c r="E10" s="156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</row>
    <row r="11" spans="1:43" ht="162" customHeight="1" x14ac:dyDescent="0.15">
      <c r="A11" s="150" t="s">
        <v>60</v>
      </c>
      <c r="B11" s="30"/>
      <c r="C11" s="30"/>
      <c r="D11" s="157" t="s">
        <v>100</v>
      </c>
      <c r="E11" s="156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</row>
    <row r="12" spans="1:43" ht="162" customHeight="1" x14ac:dyDescent="0.15">
      <c r="A12" s="150" t="s">
        <v>61</v>
      </c>
      <c r="B12" s="30"/>
      <c r="C12" s="30"/>
      <c r="D12" s="157" t="s">
        <v>101</v>
      </c>
      <c r="E12" s="156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</row>
    <row r="13" spans="1:43" ht="162" customHeight="1" x14ac:dyDescent="0.15">
      <c r="A13" s="150" t="s">
        <v>111</v>
      </c>
      <c r="B13" s="30"/>
      <c r="C13" s="30"/>
      <c r="D13" s="157" t="s">
        <v>102</v>
      </c>
      <c r="E13" s="156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</row>
    <row r="14" spans="1:43" ht="162" customHeight="1" x14ac:dyDescent="0.15">
      <c r="A14" s="151" t="s">
        <v>75</v>
      </c>
      <c r="B14" s="30"/>
      <c r="C14" s="30"/>
      <c r="D14" s="30"/>
      <c r="E14" s="75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</row>
    <row r="15" spans="1:43" ht="162" customHeight="1" x14ac:dyDescent="0.15">
      <c r="A15" s="1" t="s">
        <v>76</v>
      </c>
      <c r="C15" s="1"/>
      <c r="D15" s="1"/>
      <c r="E15" s="73"/>
    </row>
    <row r="16" spans="1:43" ht="162" customHeight="1" x14ac:dyDescent="0.15">
      <c r="A16" s="1" t="s">
        <v>78</v>
      </c>
      <c r="C16" s="1"/>
      <c r="D16" s="1"/>
      <c r="E16" s="73"/>
    </row>
    <row r="17" spans="1:5" ht="162" customHeight="1" x14ac:dyDescent="0.15">
      <c r="A17" s="1" t="s">
        <v>77</v>
      </c>
      <c r="C17" s="1"/>
      <c r="D17" s="1"/>
      <c r="E17" s="73"/>
    </row>
    <row r="18" spans="1:5" ht="162" customHeight="1" x14ac:dyDescent="0.15">
      <c r="A18" s="157" t="s">
        <v>103</v>
      </c>
      <c r="B18" s="71"/>
      <c r="C18" s="71"/>
      <c r="D18" s="1"/>
      <c r="E18" s="73"/>
    </row>
    <row r="19" spans="1:5" ht="162" customHeight="1" x14ac:dyDescent="0.15">
      <c r="A19" s="160" t="s">
        <v>112</v>
      </c>
      <c r="B19" s="71"/>
      <c r="C19" s="71"/>
      <c r="D19" s="1"/>
      <c r="E19" s="73"/>
    </row>
    <row r="20" spans="1:5" ht="162" customHeight="1" x14ac:dyDescent="0.15">
      <c r="A20" s="157" t="s">
        <v>104</v>
      </c>
      <c r="B20" s="71"/>
      <c r="C20" s="71"/>
      <c r="D20" s="78"/>
    </row>
    <row r="21" spans="1:5" ht="162" customHeight="1" x14ac:dyDescent="0.15">
      <c r="A21" s="160" t="s">
        <v>113</v>
      </c>
      <c r="B21" s="71"/>
      <c r="C21" s="71"/>
      <c r="D21" s="73"/>
    </row>
    <row r="22" spans="1:5" ht="162" customHeight="1" x14ac:dyDescent="0.15">
      <c r="A22" s="157" t="s">
        <v>105</v>
      </c>
      <c r="B22" s="71"/>
      <c r="C22" s="71"/>
      <c r="D22" s="73"/>
    </row>
    <row r="23" spans="1:5" ht="162" customHeight="1" x14ac:dyDescent="0.15">
      <c r="A23" s="1" t="s">
        <v>106</v>
      </c>
      <c r="B23" s="71"/>
      <c r="C23" s="71"/>
      <c r="D23" s="73"/>
    </row>
    <row r="24" spans="1:5" ht="162" customHeight="1" x14ac:dyDescent="0.15">
      <c r="A24" s="71"/>
      <c r="B24" s="71"/>
      <c r="C24" s="71"/>
      <c r="D24" s="73"/>
    </row>
  </sheetData>
  <phoneticPr fontId="10" type="noConversion"/>
  <pageMargins left="0.70866141732283472" right="0.31496062992125984" top="0.74803149606299213" bottom="0.74803149606299213" header="0.31496062992125984" footer="0.31496062992125984"/>
  <pageSetup paperSize="9" scale="7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12</vt:i4>
      </vt:variant>
    </vt:vector>
  </HeadingPairs>
  <TitlesOfParts>
    <vt:vector size="15" baseType="lpstr">
      <vt:lpstr>단열90 시스템도어</vt:lpstr>
      <vt:lpstr>비단열50 시스템도어</vt:lpstr>
      <vt:lpstr>수정(2)</vt:lpstr>
      <vt:lpstr>'단열90 시스템도어'!Print_Area</vt:lpstr>
      <vt:lpstr>'비단열50 시스템도어'!Print_Area</vt:lpstr>
      <vt:lpstr>경첩방향</vt:lpstr>
      <vt:lpstr>경첩추가</vt:lpstr>
      <vt:lpstr>그림</vt:lpstr>
      <vt:lpstr>모델</vt:lpstr>
      <vt:lpstr>방향</vt:lpstr>
      <vt:lpstr>시스템</vt:lpstr>
      <vt:lpstr>양개</vt:lpstr>
      <vt:lpstr>오사이사이즈</vt:lpstr>
      <vt:lpstr>이미지범위</vt:lpstr>
      <vt:lpstr>이미지범위2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plus-st</dc:creator>
  <cp:lastModifiedBy>seung hoon nam</cp:lastModifiedBy>
  <cp:lastPrinted>2026-06-04T23:33:20Z</cp:lastPrinted>
  <dcterms:created xsi:type="dcterms:W3CDTF">2024-12-26T01:50:29Z</dcterms:created>
  <dcterms:modified xsi:type="dcterms:W3CDTF">2026-06-05T05:17:26Z</dcterms:modified>
</cp:coreProperties>
</file>