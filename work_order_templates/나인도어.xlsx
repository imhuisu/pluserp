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\OneDrive\Desktop\"/>
    </mc:Choice>
  </mc:AlternateContent>
  <xr:revisionPtr revIDLastSave="0" documentId="8_{E4B72ECF-A55C-40FE-820A-0635F0CB4AB5}" xr6:coauthVersionLast="47" xr6:coauthVersionMax="47" xr10:uidLastSave="{00000000-0000-0000-0000-000000000000}"/>
  <bookViews>
    <workbookView xWindow="6780" yWindow="2970" windowWidth="28800" windowHeight="15435" xr2:uid="{7855782E-4E24-4B2E-BF05-7E3014E10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94" i="1" l="1"/>
  <c r="BF94" i="1"/>
  <c r="BE94" i="1"/>
  <c r="BD94" i="1"/>
  <c r="BC94" i="1"/>
  <c r="AZ94" i="1"/>
  <c r="AY94" i="1"/>
  <c r="AX94" i="1"/>
  <c r="AW94" i="1"/>
  <c r="BI93" i="1"/>
  <c r="BG93" i="1"/>
  <c r="BF93" i="1"/>
  <c r="BE93" i="1"/>
  <c r="BD93" i="1"/>
  <c r="BC93" i="1"/>
  <c r="AZ93" i="1"/>
  <c r="AY93" i="1"/>
  <c r="AX93" i="1"/>
  <c r="AW93" i="1"/>
  <c r="BB92" i="1"/>
  <c r="BJ91" i="1"/>
  <c r="BJ92" i="1" s="1"/>
  <c r="BI91" i="1"/>
  <c r="BI92" i="1" s="1"/>
  <c r="BG91" i="1"/>
  <c r="BF91" i="1"/>
  <c r="BE91" i="1"/>
  <c r="BD91" i="1"/>
  <c r="BC91" i="1"/>
  <c r="BB91" i="1"/>
  <c r="BA91" i="1"/>
  <c r="AX91" i="1"/>
  <c r="AX92" i="1" s="1"/>
  <c r="BB90" i="1"/>
  <c r="BA90" i="1"/>
  <c r="AZ90" i="1"/>
  <c r="AY90" i="1"/>
  <c r="AX90" i="1"/>
  <c r="AW90" i="1"/>
  <c r="AV90" i="1"/>
  <c r="AU90" i="1"/>
  <c r="BG89" i="1"/>
  <c r="BF89" i="1"/>
  <c r="BE89" i="1"/>
  <c r="BD89" i="1"/>
  <c r="BC89" i="1"/>
  <c r="BB89" i="1"/>
  <c r="BA89" i="1"/>
  <c r="AZ89" i="1"/>
  <c r="AY89" i="1"/>
  <c r="AX89" i="1"/>
  <c r="AW89" i="1"/>
  <c r="AS84" i="1"/>
  <c r="AS86" i="1" s="1"/>
  <c r="B22" i="1" s="1"/>
  <c r="AS77" i="1"/>
  <c r="AS78" i="1" s="1"/>
  <c r="AX74" i="1"/>
  <c r="AU68" i="1"/>
  <c r="AU69" i="1" s="1"/>
  <c r="AU70" i="1" s="1"/>
  <c r="AU71" i="1" s="1"/>
  <c r="AX66" i="1"/>
  <c r="AV66" i="1"/>
  <c r="AU66" i="1"/>
  <c r="AX65" i="1"/>
  <c r="AS64" i="1"/>
  <c r="AS83" i="1" s="1"/>
  <c r="BN63" i="1"/>
  <c r="BK63" i="1"/>
  <c r="BL63" i="1" s="1"/>
  <c r="BM63" i="1" s="1"/>
  <c r="AW61" i="1"/>
  <c r="AW62" i="1" s="1"/>
  <c r="AT61" i="1"/>
  <c r="AT62" i="1" s="1"/>
  <c r="BC60" i="1"/>
  <c r="AS60" i="1"/>
  <c r="AS59" i="1"/>
  <c r="AS58" i="1"/>
  <c r="AS57" i="1"/>
  <c r="AS53" i="1"/>
  <c r="AS54" i="1" s="1"/>
  <c r="AS52" i="1"/>
  <c r="AW51" i="1"/>
  <c r="AU51" i="1"/>
  <c r="AS51" i="1"/>
  <c r="AS50" i="1"/>
  <c r="AS47" i="1"/>
  <c r="AS44" i="1"/>
  <c r="B44" i="1"/>
  <c r="AS43" i="1"/>
  <c r="E42" i="1"/>
  <c r="AS41" i="1"/>
  <c r="AS42" i="1" s="1"/>
  <c r="N37" i="1"/>
  <c r="BT36" i="1"/>
  <c r="AS36" i="1"/>
  <c r="M36" i="1"/>
  <c r="M35" i="1"/>
  <c r="E35" i="1"/>
  <c r="B35" i="1"/>
  <c r="N34" i="1"/>
  <c r="M34" i="1"/>
  <c r="M37" i="1" s="1"/>
  <c r="AV33" i="1"/>
  <c r="AS33" i="1"/>
  <c r="AV32" i="1"/>
  <c r="AT32" i="1"/>
  <c r="C32" i="1"/>
  <c r="BR30" i="1"/>
  <c r="AU47" i="1" s="1"/>
  <c r="M30" i="1"/>
  <c r="M31" i="1" s="1"/>
  <c r="M32" i="1" s="1"/>
  <c r="H30" i="1"/>
  <c r="G30" i="1"/>
  <c r="F30" i="1"/>
  <c r="BH29" i="1"/>
  <c r="H29" i="1"/>
  <c r="G29" i="1"/>
  <c r="B29" i="1"/>
  <c r="AT28" i="1"/>
  <c r="H28" i="1"/>
  <c r="G28" i="1"/>
  <c r="F28" i="1"/>
  <c r="AT27" i="1"/>
  <c r="E27" i="1"/>
  <c r="D27" i="1"/>
  <c r="B27" i="1"/>
  <c r="BQ26" i="1"/>
  <c r="AY33" i="1" s="1"/>
  <c r="BP26" i="1"/>
  <c r="E26" i="1"/>
  <c r="D26" i="1"/>
  <c r="C26" i="1"/>
  <c r="B26" i="1"/>
  <c r="AW25" i="1"/>
  <c r="AV25" i="1"/>
  <c r="AT25" i="1"/>
  <c r="AS25" i="1"/>
  <c r="E25" i="1"/>
  <c r="D25" i="1"/>
  <c r="C25" i="1"/>
  <c r="B25" i="1"/>
  <c r="Z24" i="1"/>
  <c r="E24" i="1"/>
  <c r="D24" i="1"/>
  <c r="AU22" i="1"/>
  <c r="AS22" i="1"/>
  <c r="Z22" i="1"/>
  <c r="D22" i="1"/>
  <c r="AU21" i="1"/>
  <c r="AS21" i="1"/>
  <c r="D21" i="1"/>
  <c r="BQ11" i="1" s="1"/>
  <c r="BR29" i="1" s="1"/>
  <c r="AU44" i="1" s="1"/>
  <c r="C21" i="1"/>
  <c r="B21" i="1"/>
  <c r="AS20" i="1"/>
  <c r="Z20" i="1"/>
  <c r="AS19" i="1"/>
  <c r="AT18" i="1"/>
  <c r="BR17" i="1"/>
  <c r="AW17" i="1"/>
  <c r="AV17" i="1"/>
  <c r="AT17" i="1"/>
  <c r="AS17" i="1"/>
  <c r="C17" i="1"/>
  <c r="B17" i="1"/>
  <c r="D17" i="1" s="1"/>
  <c r="BR16" i="1"/>
  <c r="AU6" i="1" s="1"/>
  <c r="AT16" i="1"/>
  <c r="C16" i="1"/>
  <c r="BI29" i="1" s="1"/>
  <c r="B16" i="1"/>
  <c r="D16" i="1" s="1"/>
  <c r="AV15" i="1"/>
  <c r="AS15" i="1"/>
  <c r="A15" i="1"/>
  <c r="D14" i="1"/>
  <c r="C14" i="1"/>
  <c r="B14" i="1"/>
  <c r="C13" i="1"/>
  <c r="B13" i="1"/>
  <c r="BR12" i="1"/>
  <c r="AU17" i="1" s="1"/>
  <c r="AS12" i="1"/>
  <c r="AC12" i="1"/>
  <c r="AF12" i="1" s="1"/>
  <c r="Z12" i="1"/>
  <c r="AU10" i="1"/>
  <c r="M10" i="1"/>
  <c r="H10" i="1"/>
  <c r="E10" i="1"/>
  <c r="E9" i="1"/>
  <c r="AS8" i="1"/>
  <c r="M8" i="1"/>
  <c r="AS7" i="1"/>
  <c r="AC7" i="1"/>
  <c r="M6" i="1" s="1"/>
  <c r="L7" i="1"/>
  <c r="W22" i="1" s="1"/>
  <c r="AI22" i="1" s="1"/>
  <c r="AS6" i="1"/>
  <c r="N6" i="1"/>
  <c r="BW4" i="1"/>
  <c r="BW5" i="1" s="1"/>
  <c r="BW6" i="1" s="1"/>
  <c r="BW3" i="1"/>
  <c r="AF3" i="1"/>
  <c r="AC3" i="1"/>
  <c r="AI3" i="1" s="1"/>
  <c r="H1" i="1"/>
  <c r="O24" i="1" l="1"/>
  <c r="O26" i="1" s="1"/>
  <c r="M21" i="1"/>
  <c r="M17" i="1"/>
  <c r="M13" i="1"/>
  <c r="M25" i="1"/>
  <c r="M27" i="1" s="1"/>
  <c r="C15" i="1"/>
  <c r="E21" i="1"/>
  <c r="F21" i="1" s="1"/>
  <c r="BQ39" i="1"/>
  <c r="AU52" i="1"/>
  <c r="AU19" i="1"/>
  <c r="AU84" i="1" s="1"/>
  <c r="AU33" i="1"/>
  <c r="BR26" i="1"/>
  <c r="AU50" i="1"/>
  <c r="BR18" i="1"/>
  <c r="AU7" i="1" s="1"/>
  <c r="AW72" i="1"/>
  <c r="AS56" i="1"/>
  <c r="AS30" i="1"/>
  <c r="AS31" i="1" s="1"/>
  <c r="BQ14" i="1"/>
  <c r="BQ13" i="1"/>
  <c r="AW8" i="1"/>
  <c r="AW43" i="1"/>
  <c r="BR33" i="1"/>
  <c r="AU57" i="1" s="1"/>
  <c r="BA18" i="1"/>
  <c r="BA27" i="1" s="1"/>
  <c r="BA28" i="1" s="1"/>
  <c r="BA63" i="1" s="1"/>
  <c r="BA17" i="1"/>
  <c r="BQ15" i="1"/>
  <c r="AW12" i="1"/>
  <c r="AS10" i="1"/>
  <c r="BA10" i="1"/>
  <c r="BA11" i="1" s="1"/>
  <c r="BA77" i="1"/>
  <c r="AU72" i="1"/>
  <c r="AS55" i="1"/>
  <c r="AW53" i="1"/>
  <c r="AW54" i="1" s="1"/>
  <c r="BQ40" i="1"/>
  <c r="BS35" i="1"/>
  <c r="AW59" i="1" s="1"/>
  <c r="AW60" i="1" s="1"/>
  <c r="AS29" i="1"/>
  <c r="AS90" i="1" s="1"/>
  <c r="AS26" i="1"/>
  <c r="AU26" i="1" s="1"/>
  <c r="BQ23" i="1"/>
  <c r="AS14" i="1"/>
  <c r="AW41" i="1"/>
  <c r="AW42" i="1" s="1"/>
  <c r="BS38" i="1"/>
  <c r="AW64" i="1" s="1"/>
  <c r="AW83" i="1" s="1"/>
  <c r="AW86" i="1" s="1"/>
  <c r="B24" i="1" s="1"/>
  <c r="AS37" i="1"/>
  <c r="AS38" i="1" s="1"/>
  <c r="BR34" i="1"/>
  <c r="BQ25" i="1"/>
  <c r="BQ24" i="1"/>
  <c r="BR20" i="1"/>
  <c r="AY15" i="1"/>
  <c r="AS72" i="1"/>
  <c r="AS68" i="1"/>
  <c r="AS69" i="1" s="1"/>
  <c r="AS70" i="1" s="1"/>
  <c r="AS71" i="1" s="1"/>
  <c r="BR38" i="1"/>
  <c r="AU64" i="1" s="1"/>
  <c r="AU83" i="1" s="1"/>
  <c r="AU11" i="1"/>
  <c r="BQ32" i="1"/>
  <c r="AS24" i="1"/>
  <c r="BQ21" i="1"/>
  <c r="BQ28" i="1"/>
  <c r="AS18" i="1" s="1"/>
  <c r="AU18" i="1" s="1"/>
  <c r="AW44" i="1"/>
  <c r="AY72" i="1"/>
  <c r="AW68" i="1"/>
  <c r="AW69" i="1" s="1"/>
  <c r="AW70" i="1" s="1"/>
  <c r="AW71" i="1" s="1"/>
  <c r="AU43" i="1"/>
  <c r="AU25" i="1"/>
  <c r="AU8" i="1"/>
  <c r="BR35" i="1"/>
  <c r="AU59" i="1" s="1"/>
  <c r="AU60" i="1" s="1"/>
  <c r="AY17" i="1"/>
  <c r="AU77" i="1"/>
  <c r="AU53" i="1"/>
  <c r="AU54" i="1" s="1"/>
  <c r="AU41" i="1"/>
  <c r="AU42" i="1" s="1"/>
  <c r="AY25" i="1"/>
  <c r="AU20" i="1"/>
  <c r="M2" i="1"/>
  <c r="BT11" i="1"/>
  <c r="M7" i="1"/>
  <c r="D10" i="1"/>
  <c r="AS11" i="1"/>
  <c r="BR19" i="1"/>
  <c r="AU12" i="1" s="1"/>
  <c r="BR22" i="1"/>
  <c r="AW22" i="1" s="1"/>
  <c r="AS87" i="1"/>
  <c r="AS88" i="1" s="1"/>
  <c r="AS89" i="1"/>
  <c r="AS93" i="1"/>
  <c r="AS94" i="1"/>
  <c r="W20" i="1"/>
  <c r="B12" i="1"/>
  <c r="N30" i="1" l="1"/>
  <c r="G21" i="1"/>
  <c r="AU91" i="1"/>
  <c r="AU92" i="1" s="1"/>
  <c r="AU65" i="1"/>
  <c r="AS65" i="1"/>
  <c r="AS73" i="1"/>
  <c r="AS91" i="1"/>
  <c r="AS92" i="1" s="1"/>
  <c r="AV44" i="1"/>
  <c r="BV40" i="1"/>
  <c r="AT66" i="1" s="1"/>
  <c r="BU35" i="1"/>
  <c r="BT33" i="1"/>
  <c r="AX22" i="1"/>
  <c r="AT21" i="1"/>
  <c r="BB17" i="1"/>
  <c r="BB18" i="1" s="1"/>
  <c r="BB27" i="1" s="1"/>
  <c r="BB28" i="1" s="1"/>
  <c r="BB63" i="1" s="1"/>
  <c r="BT15" i="1"/>
  <c r="AT15" i="1"/>
  <c r="AX12" i="1"/>
  <c r="AT7" i="1"/>
  <c r="AV7" i="1" s="1"/>
  <c r="AT6" i="1"/>
  <c r="BB77" i="1"/>
  <c r="AV68" i="1"/>
  <c r="AV69" i="1" s="1"/>
  <c r="AV70" i="1" s="1"/>
  <c r="AV71" i="1" s="1"/>
  <c r="AT55" i="1"/>
  <c r="AX53" i="1"/>
  <c r="AX54" i="1" s="1"/>
  <c r="AT52" i="1"/>
  <c r="AT43" i="1"/>
  <c r="BT35" i="1"/>
  <c r="AT29" i="1"/>
  <c r="AT90" i="1" s="1"/>
  <c r="AT26" i="1"/>
  <c r="BV24" i="1"/>
  <c r="AV28" i="1" s="1"/>
  <c r="BU23" i="1"/>
  <c r="AX27" i="1" s="1"/>
  <c r="BI27" i="1" s="1"/>
  <c r="AT19" i="1"/>
  <c r="AT84" i="1" s="1"/>
  <c r="AT14" i="1"/>
  <c r="AT13" i="1"/>
  <c r="AT44" i="1"/>
  <c r="AX41" i="1"/>
  <c r="AX42" i="1" s="1"/>
  <c r="BT38" i="1"/>
  <c r="AT37" i="1"/>
  <c r="AT38" i="1" s="1"/>
  <c r="AT39" i="1" s="1"/>
  <c r="AT40" i="1" s="1"/>
  <c r="BB33" i="1"/>
  <c r="AT33" i="1"/>
  <c r="BV25" i="1"/>
  <c r="AX32" i="1" s="1"/>
  <c r="BU24" i="1"/>
  <c r="AX28" i="1" s="1"/>
  <c r="BI28" i="1" s="1"/>
  <c r="AV22" i="1"/>
  <c r="BU20" i="1"/>
  <c r="AX15" i="1" s="1"/>
  <c r="AZ15" i="1"/>
  <c r="AV12" i="1"/>
  <c r="AX44" i="1"/>
  <c r="AT68" i="1"/>
  <c r="AT69" i="1" s="1"/>
  <c r="AT70" i="1" s="1"/>
  <c r="AT71" i="1" s="1"/>
  <c r="AT72" i="1" s="1"/>
  <c r="AV36" i="1"/>
  <c r="BU26" i="1"/>
  <c r="AX33" i="1" s="1"/>
  <c r="AT23" i="1"/>
  <c r="AT8" i="1"/>
  <c r="AT45" i="1"/>
  <c r="AT46" i="1" s="1"/>
  <c r="AT34" i="1"/>
  <c r="AT35" i="1" s="1"/>
  <c r="AZ33" i="1"/>
  <c r="AT24" i="1"/>
  <c r="AT22" i="1"/>
  <c r="BU21" i="1"/>
  <c r="AV16" i="1" s="1"/>
  <c r="AV20" i="1"/>
  <c r="AT12" i="1"/>
  <c r="AT53" i="1"/>
  <c r="AT54" i="1" s="1"/>
  <c r="AX43" i="1"/>
  <c r="BV39" i="1"/>
  <c r="AZ66" i="1" s="1"/>
  <c r="AT36" i="1"/>
  <c r="AX16" i="1"/>
  <c r="BT14" i="1"/>
  <c r="AX68" i="1" s="1"/>
  <c r="AX69" i="1" s="1"/>
  <c r="AX70" i="1" s="1"/>
  <c r="AX71" i="1" s="1"/>
  <c r="BU12" i="1"/>
  <c r="AX8" i="1"/>
  <c r="AV6" i="1"/>
  <c r="BT13" i="1"/>
  <c r="BU13" i="1" s="1"/>
  <c r="AT4" i="1" s="1"/>
  <c r="BU37" i="1"/>
  <c r="AT30" i="1"/>
  <c r="AT31" i="1" s="1"/>
  <c r="AT41" i="1"/>
  <c r="BU36" i="1"/>
  <c r="BU28" i="1"/>
  <c r="AV18" i="1" s="1"/>
  <c r="BI18" i="1" s="1"/>
  <c r="AV19" i="1"/>
  <c r="AV84" i="1" s="1"/>
  <c r="BB4" i="1"/>
  <c r="BB5" i="1" s="1"/>
  <c r="BB10" i="1" s="1"/>
  <c r="BB11" i="1" s="1"/>
  <c r="N32" i="1"/>
  <c r="AV21" i="1"/>
  <c r="BU17" i="1"/>
  <c r="BU39" i="1"/>
  <c r="AV26" i="1"/>
  <c r="AZ32" i="1"/>
  <c r="AT56" i="1"/>
  <c r="AT20" i="1"/>
  <c r="AV52" i="1"/>
  <c r="AW16" i="1"/>
  <c r="BR27" i="1"/>
  <c r="AU36" i="1" s="1"/>
  <c r="AU16" i="1"/>
  <c r="AS16" i="1"/>
  <c r="AW15" i="1"/>
  <c r="AU15" i="1"/>
  <c r="AW27" i="1"/>
  <c r="AU27" i="1"/>
  <c r="AS27" i="1"/>
  <c r="BA94" i="1"/>
  <c r="BA78" i="1"/>
  <c r="BA79" i="1" s="1"/>
  <c r="BA80" i="1" s="1"/>
  <c r="AU79" i="1" s="1"/>
  <c r="AU80" i="1" s="1"/>
  <c r="BA93" i="1"/>
  <c r="W24" i="1"/>
  <c r="AI24" i="1" s="1"/>
  <c r="AI20" i="1"/>
  <c r="AU86" i="1"/>
  <c r="B23" i="1" s="1"/>
  <c r="AU78" i="1"/>
  <c r="AU94" i="1"/>
  <c r="AU93" i="1"/>
  <c r="AW65" i="1"/>
  <c r="AW91" i="1"/>
  <c r="AW92" i="1" s="1"/>
  <c r="AW28" i="1"/>
  <c r="AU28" i="1"/>
  <c r="AS28" i="1"/>
  <c r="BA33" i="1"/>
  <c r="AW33" i="1"/>
  <c r="AY65" i="1"/>
  <c r="AY91" i="1"/>
  <c r="AY92" i="1" s="1"/>
  <c r="BA92" i="1" s="1"/>
  <c r="BR32" i="1"/>
  <c r="BA51" i="1" s="1"/>
  <c r="AY51" i="1"/>
  <c r="AW32" i="1"/>
  <c r="AU32" i="1"/>
  <c r="AS32" i="1"/>
  <c r="AY32" i="1"/>
  <c r="BQ37" i="1"/>
  <c r="AS63" i="1" s="1"/>
  <c r="BQ36" i="1"/>
  <c r="AU58" i="1"/>
  <c r="BS34" i="1"/>
  <c r="AW58" i="1" s="1"/>
  <c r="AS39" i="1"/>
  <c r="AS40" i="1" s="1"/>
  <c r="AS13" i="1"/>
  <c r="AS4" i="1"/>
  <c r="AS23" i="1"/>
  <c r="AS5" i="1"/>
  <c r="AU5" i="1" s="1"/>
  <c r="AU89" i="1"/>
  <c r="AU87" i="1"/>
  <c r="AU88" i="1" s="1"/>
  <c r="BS40" i="1"/>
  <c r="AW66" i="1" s="1"/>
  <c r="AS66" i="1"/>
  <c r="AY66" i="1"/>
  <c r="AS48" i="1"/>
  <c r="AS49" i="1" s="1"/>
  <c r="AS45" i="1"/>
  <c r="AS46" i="1" s="1"/>
  <c r="AS34" i="1"/>
  <c r="AS35" i="1" s="1"/>
  <c r="AT10" i="1" l="1"/>
  <c r="BI10" i="1" s="1"/>
  <c r="AT11" i="1"/>
  <c r="BI11" i="1" s="1"/>
  <c r="AT5" i="1"/>
  <c r="AT86" i="1"/>
  <c r="AT89" i="1"/>
  <c r="AT87" i="1"/>
  <c r="AT88" i="1" s="1"/>
  <c r="AU4" i="1"/>
  <c r="BA4" i="1"/>
  <c r="BA5" i="1" s="1"/>
  <c r="BN28" i="1"/>
  <c r="BM28" i="1"/>
  <c r="BL28" i="1"/>
  <c r="BK28" i="1"/>
  <c r="AY73" i="1"/>
  <c r="AY74" i="1" s="1"/>
  <c r="AW73" i="1"/>
  <c r="AW74" i="1" s="1"/>
  <c r="AS74" i="1"/>
  <c r="AS75" i="1" s="1"/>
  <c r="AU73" i="1"/>
  <c r="AU74" i="1" s="1"/>
  <c r="AT73" i="1"/>
  <c r="AT74" i="1" s="1"/>
  <c r="AT75" i="1" s="1"/>
  <c r="AV72" i="1"/>
  <c r="AT91" i="1"/>
  <c r="AT92" i="1" s="1"/>
  <c r="AZ72" i="1"/>
  <c r="AT65" i="1"/>
  <c r="N24" i="1"/>
  <c r="M20" i="1"/>
  <c r="AV89" i="1"/>
  <c r="AV87" i="1"/>
  <c r="AV88" i="1" s="1"/>
  <c r="AT47" i="1"/>
  <c r="AT48" i="1" s="1"/>
  <c r="AV47" i="1"/>
  <c r="AX64" i="1"/>
  <c r="AX83" i="1" s="1"/>
  <c r="AX86" i="1" s="1"/>
  <c r="C24" i="1" s="1"/>
  <c r="AV64" i="1"/>
  <c r="AV83" i="1" s="1"/>
  <c r="AT64" i="1"/>
  <c r="AT83" i="1" s="1"/>
  <c r="BB78" i="1"/>
  <c r="BB79" i="1" s="1"/>
  <c r="BB80" i="1" s="1"/>
  <c r="BB94" i="1"/>
  <c r="BB93" i="1"/>
  <c r="AV53" i="1"/>
  <c r="AV54" i="1" s="1"/>
  <c r="AV43" i="1"/>
  <c r="M24" i="1"/>
  <c r="M26" i="1" s="1"/>
  <c r="M19" i="1"/>
  <c r="BV23" i="1"/>
  <c r="AV27" i="1" s="1"/>
  <c r="AZ61" i="1"/>
  <c r="AZ62" i="1" s="1"/>
  <c r="BV36" i="1"/>
  <c r="AZ17" i="1"/>
  <c r="AZ25" i="1"/>
  <c r="AX17" i="1"/>
  <c r="AX25" i="1"/>
  <c r="BT37" i="1"/>
  <c r="AT63" i="1" s="1"/>
  <c r="BI63" i="1" s="1"/>
  <c r="AV59" i="1"/>
  <c r="AV60" i="1" s="1"/>
  <c r="BT34" i="1"/>
  <c r="AV57" i="1"/>
  <c r="AT57" i="1"/>
  <c r="AV4" i="1"/>
  <c r="BU31" i="1"/>
  <c r="AT51" i="1" s="1"/>
  <c r="AV8" i="1"/>
  <c r="BT31" i="1"/>
  <c r="AY61" i="1"/>
  <c r="AY62" i="1" s="1"/>
  <c r="BS36" i="1"/>
  <c r="AU61" i="1" s="1"/>
  <c r="AU62" i="1" s="1"/>
  <c r="AS61" i="1"/>
  <c r="AS62" i="1" s="1"/>
  <c r="AV41" i="1"/>
  <c r="AV42" i="1" s="1"/>
  <c r="AT42" i="1"/>
  <c r="AT59" i="1"/>
  <c r="AT60" i="1" s="1"/>
  <c r="AX59" i="1"/>
  <c r="AX60" i="1" s="1"/>
  <c r="H21" i="1"/>
  <c r="M28" i="1"/>
  <c r="AZ65" i="1" l="1"/>
  <c r="AZ73" i="1"/>
  <c r="AZ91" i="1"/>
  <c r="AZ92" i="1" s="1"/>
  <c r="AZ74" i="1"/>
  <c r="BI4" i="1"/>
  <c r="BI5" i="1" s="1"/>
  <c r="AV11" i="1"/>
  <c r="AV5" i="1"/>
  <c r="AV10" i="1"/>
  <c r="AT50" i="1"/>
  <c r="AV50" i="1" s="1"/>
  <c r="AT49" i="1"/>
  <c r="AV91" i="1"/>
  <c r="AV92" i="1" s="1"/>
  <c r="BN72" i="1"/>
  <c r="BM72" i="1"/>
  <c r="AV73" i="1"/>
  <c r="AV74" i="1" s="1"/>
  <c r="BL72" i="1"/>
  <c r="BK72" i="1"/>
  <c r="AV65" i="1"/>
  <c r="BK4" i="1"/>
  <c r="BK5" i="1" s="1"/>
  <c r="BK10" i="1" s="1"/>
  <c r="BK11" i="1" s="1"/>
  <c r="AT76" i="1"/>
  <c r="AT81" i="1"/>
  <c r="BL4" i="1"/>
  <c r="BL5" i="1" s="1"/>
  <c r="BL10" i="1" s="1"/>
  <c r="BL11" i="1" s="1"/>
  <c r="AX61" i="1"/>
  <c r="AX62" i="1" s="1"/>
  <c r="AV61" i="1"/>
  <c r="AV62" i="1" s="1"/>
  <c r="AT58" i="1"/>
  <c r="AX58" i="1"/>
  <c r="AV58" i="1"/>
  <c r="AS81" i="1"/>
  <c r="AS76" i="1"/>
  <c r="AS82" i="1" s="1"/>
  <c r="BM4" i="1"/>
  <c r="BM5" i="1" s="1"/>
  <c r="BM10" i="1" s="1"/>
  <c r="BM11" i="1" s="1"/>
  <c r="BN27" i="1"/>
  <c r="BM27" i="1"/>
  <c r="BL27" i="1"/>
  <c r="BK27" i="1"/>
  <c r="N26" i="1"/>
  <c r="O19" i="1" s="1"/>
  <c r="O20" i="1" s="1"/>
  <c r="N19" i="1"/>
  <c r="N20" i="1" s="1"/>
  <c r="B15" i="1" s="1"/>
  <c r="BN4" i="1"/>
  <c r="BN5" i="1" s="1"/>
  <c r="BN10" i="1" s="1"/>
  <c r="BN11" i="1" s="1"/>
  <c r="C22" i="1"/>
  <c r="AV86" i="1"/>
  <c r="C23" i="1" s="1"/>
  <c r="AX51" i="1"/>
  <c r="AV51" i="1"/>
  <c r="BI51" i="1" s="1"/>
  <c r="BB51" i="1"/>
  <c r="AZ51" i="1"/>
  <c r="BL91" i="1" l="1"/>
  <c r="BL92" i="1" s="1"/>
  <c r="BL73" i="1"/>
  <c r="BL74" i="1" s="1"/>
  <c r="BL65" i="1"/>
  <c r="BM91" i="1"/>
  <c r="BM92" i="1" s="1"/>
  <c r="BM73" i="1"/>
  <c r="BM74" i="1" s="1"/>
  <c r="BM65" i="1"/>
  <c r="BN65" i="1"/>
  <c r="BN73" i="1"/>
  <c r="BN74" i="1" s="1"/>
  <c r="BN91" i="1"/>
  <c r="BN92" i="1" s="1"/>
  <c r="F15" i="1"/>
  <c r="D15" i="1"/>
  <c r="AT82" i="1"/>
  <c r="AT77" i="1"/>
  <c r="BK65" i="1"/>
  <c r="BK91" i="1"/>
  <c r="BK92" i="1" s="1"/>
  <c r="BK73" i="1"/>
  <c r="BK74" i="1" s="1"/>
  <c r="AV77" i="1" l="1"/>
  <c r="AT94" i="1"/>
  <c r="AT93" i="1"/>
  <c r="AT78" i="1"/>
  <c r="AT79" i="1" s="1"/>
  <c r="AT80" i="1" s="1"/>
  <c r="AV94" i="1" l="1"/>
  <c r="AV93" i="1"/>
  <c r="AV78" i="1"/>
  <c r="AV79" i="1" s="1"/>
  <c r="AV80" i="1" s="1"/>
</calcChain>
</file>

<file path=xl/sharedStrings.xml><?xml version="1.0" encoding="utf-8"?>
<sst xmlns="http://schemas.openxmlformats.org/spreadsheetml/2006/main" count="274" uniqueCount="170">
  <si>
    <t>나인도어 (비단열) 작업지시서</t>
    <phoneticPr fontId="3" type="noConversion"/>
  </si>
  <si>
    <t>비단열 절단</t>
    <phoneticPr fontId="3" type="noConversion"/>
  </si>
  <si>
    <t>문 가공산출</t>
    <phoneticPr fontId="3" type="noConversion"/>
  </si>
  <si>
    <t>문(960기준)</t>
    <phoneticPr fontId="3" type="noConversion"/>
  </si>
  <si>
    <t>날개바
유리바
보강대
힌지바</t>
    <phoneticPr fontId="3" type="noConversion"/>
  </si>
  <si>
    <t>문지방</t>
    <phoneticPr fontId="3" type="noConversion"/>
  </si>
  <si>
    <t>여유폭</t>
    <phoneticPr fontId="3" type="noConversion"/>
  </si>
  <si>
    <t>통바</t>
    <phoneticPr fontId="3" type="noConversion"/>
  </si>
  <si>
    <t>ㄷ자바</t>
    <phoneticPr fontId="3" type="noConversion"/>
  </si>
  <si>
    <t>뚜껑</t>
    <phoneticPr fontId="3" type="noConversion"/>
  </si>
  <si>
    <t>묻힘</t>
    <phoneticPr fontId="3" type="noConversion"/>
  </si>
  <si>
    <t>합계</t>
    <phoneticPr fontId="3" type="noConversion"/>
  </si>
  <si>
    <t>비단열</t>
    <phoneticPr fontId="3" type="noConversion"/>
  </si>
  <si>
    <t>모델</t>
    <phoneticPr fontId="3" type="noConversion"/>
  </si>
  <si>
    <t>비고</t>
    <phoneticPr fontId="3" type="noConversion"/>
  </si>
  <si>
    <t>판넬</t>
    <phoneticPr fontId="3" type="noConversion"/>
  </si>
  <si>
    <t>문유리</t>
    <phoneticPr fontId="3" type="noConversion"/>
  </si>
  <si>
    <t>소대유리</t>
    <phoneticPr fontId="3" type="noConversion"/>
  </si>
  <si>
    <t>문단조</t>
    <phoneticPr fontId="3" type="noConversion"/>
  </si>
  <si>
    <t>소대단조</t>
    <phoneticPr fontId="3" type="noConversion"/>
  </si>
  <si>
    <t>문유리사이즈</t>
  </si>
  <si>
    <t>특이사항</t>
    <phoneticPr fontId="3" type="noConversion"/>
  </si>
  <si>
    <t>키높이</t>
    <phoneticPr fontId="3" type="noConversion"/>
  </si>
  <si>
    <t>키높이변경</t>
    <phoneticPr fontId="3" type="noConversion"/>
  </si>
  <si>
    <t>MPS300</t>
    <phoneticPr fontId="3" type="noConversion"/>
  </si>
  <si>
    <t>코맥스</t>
    <phoneticPr fontId="3" type="noConversion"/>
  </si>
  <si>
    <t>하이원</t>
    <phoneticPr fontId="3" type="noConversion"/>
  </si>
  <si>
    <t>가로</t>
    <phoneticPr fontId="3" type="noConversion"/>
  </si>
  <si>
    <t>후레임 블랙/전면 라이트월넛 / 후면 샴페인</t>
    <phoneticPr fontId="3" type="noConversion"/>
  </si>
  <si>
    <t>세로</t>
    <phoneticPr fontId="3" type="noConversion"/>
  </si>
  <si>
    <t>남마포함높이</t>
    <phoneticPr fontId="3" type="noConversion"/>
  </si>
  <si>
    <t>판</t>
  </si>
  <si>
    <t>ㄷ자바 산출공식</t>
    <phoneticPr fontId="3" type="noConversion"/>
  </si>
  <si>
    <t>후레임 블랙 / 전면 버치그레이 / 후면 샴페인, 다크그레이</t>
    <phoneticPr fontId="3" type="noConversion"/>
  </si>
  <si>
    <t>날개</t>
    <phoneticPr fontId="3" type="noConversion"/>
  </si>
  <si>
    <t>힌지바</t>
    <phoneticPr fontId="3" type="noConversion"/>
  </si>
  <si>
    <t>문기둥비</t>
    <phoneticPr fontId="3" type="noConversion"/>
  </si>
  <si>
    <t>후레임 블랙 /전면 라이트월넛 / 후면 샴페인</t>
    <phoneticPr fontId="3" type="noConversion"/>
  </si>
  <si>
    <t>-</t>
    <phoneticPr fontId="3" type="noConversion"/>
  </si>
  <si>
    <t>소대방향</t>
    <phoneticPr fontId="3" type="noConversion"/>
  </si>
  <si>
    <t>좌</t>
    <phoneticPr fontId="3" type="noConversion"/>
  </si>
  <si>
    <t>좌,우,양선택</t>
    <phoneticPr fontId="3" type="noConversion"/>
  </si>
  <si>
    <t>문사이즈</t>
    <phoneticPr fontId="3" type="noConversion"/>
  </si>
  <si>
    <t>후레임 블랙 /전면 버치그레이 / 후면 다크그레이</t>
    <phoneticPr fontId="3" type="noConversion"/>
  </si>
  <si>
    <t>경첩방향</t>
    <phoneticPr fontId="3" type="noConversion"/>
  </si>
  <si>
    <t>우</t>
    <phoneticPr fontId="3" type="noConversion"/>
  </si>
  <si>
    <t>후레임</t>
    <phoneticPr fontId="3" type="noConversion"/>
  </si>
  <si>
    <t>다대</t>
    <phoneticPr fontId="3" type="noConversion"/>
  </si>
  <si>
    <t>후레임 블랙 /전면 골드헤어라인 / 후면 샴페인</t>
    <phoneticPr fontId="3" type="noConversion"/>
  </si>
  <si>
    <t>소대개폐</t>
    <phoneticPr fontId="3" type="noConversion"/>
  </si>
  <si>
    <t>아니요</t>
    <phoneticPr fontId="3" type="noConversion"/>
  </si>
  <si>
    <t>색상변경</t>
    <phoneticPr fontId="3" type="noConversion"/>
  </si>
  <si>
    <t>변경</t>
  </si>
  <si>
    <t>통바 및 문지방</t>
    <phoneticPr fontId="3" type="noConversion"/>
  </si>
  <si>
    <t>소대바 가공산출</t>
    <phoneticPr fontId="3" type="noConversion"/>
  </si>
  <si>
    <t>glass</t>
    <phoneticPr fontId="3" type="noConversion"/>
  </si>
  <si>
    <t>hor</t>
    <phoneticPr fontId="3" type="noConversion"/>
  </si>
  <si>
    <t>ver</t>
    <phoneticPr fontId="3" type="noConversion"/>
  </si>
  <si>
    <t xml:space="preserve">                          </t>
    <phoneticPr fontId="3" type="noConversion"/>
  </si>
  <si>
    <t>가로사이즈</t>
    <phoneticPr fontId="3" type="noConversion"/>
  </si>
  <si>
    <t>후레임 블랙 /전면 카달로그 참조 / 후면 샴페인</t>
    <phoneticPr fontId="3" type="noConversion"/>
  </si>
  <si>
    <t>기둥바(소대용)</t>
    <phoneticPr fontId="3" type="noConversion"/>
  </si>
  <si>
    <t>소대폭 가공산출</t>
    <phoneticPr fontId="3" type="noConversion"/>
  </si>
  <si>
    <t>5칸</t>
    <phoneticPr fontId="3" type="noConversion"/>
  </si>
  <si>
    <t>단조or격자</t>
    <phoneticPr fontId="3" type="noConversion"/>
  </si>
  <si>
    <t>기둥바(다대용)</t>
    <phoneticPr fontId="3" type="noConversion"/>
  </si>
  <si>
    <t>후레임 블랙 /전면 샴페인 / 후면 샴페인</t>
    <phoneticPr fontId="3" type="noConversion"/>
  </si>
  <si>
    <t>4칸</t>
    <phoneticPr fontId="3" type="noConversion"/>
  </si>
  <si>
    <t>보강</t>
    <phoneticPr fontId="3" type="noConversion"/>
  </si>
  <si>
    <t>두껑</t>
    <phoneticPr fontId="3" type="noConversion"/>
  </si>
  <si>
    <t>프레임바</t>
    <phoneticPr fontId="3" type="noConversion"/>
  </si>
  <si>
    <t>문지방앞</t>
    <phoneticPr fontId="3" type="noConversion"/>
  </si>
  <si>
    <t>통바앞</t>
    <phoneticPr fontId="3" type="noConversion"/>
  </si>
  <si>
    <t>후레임 월넛 /전면 나무무늬판넬 / 후면 샴페인</t>
    <phoneticPr fontId="3" type="noConversion"/>
  </si>
  <si>
    <t>유리바</t>
    <phoneticPr fontId="3" type="noConversion"/>
  </si>
  <si>
    <t>킷대</t>
    <phoneticPr fontId="3" type="noConversion"/>
  </si>
  <si>
    <t>후레임 블랙 /전면 멀티칼라,그레이라인 / 후면 실버/보석</t>
    <phoneticPr fontId="3" type="noConversion"/>
  </si>
  <si>
    <t>바</t>
    <phoneticPr fontId="3" type="noConversion"/>
  </si>
  <si>
    <t>프레임</t>
    <phoneticPr fontId="3" type="noConversion"/>
  </si>
  <si>
    <t>문</t>
    <phoneticPr fontId="3" type="noConversion"/>
  </si>
  <si>
    <t>경첩방향=소대방향</t>
    <phoneticPr fontId="3" type="noConversion"/>
  </si>
  <si>
    <t>소대사이즈</t>
    <phoneticPr fontId="3" type="noConversion"/>
  </si>
  <si>
    <t>반대</t>
    <phoneticPr fontId="3" type="noConversion"/>
  </si>
  <si>
    <t>기둥바</t>
    <phoneticPr fontId="3" type="noConversion"/>
  </si>
  <si>
    <t>문폭</t>
    <phoneticPr fontId="3" type="noConversion"/>
  </si>
  <si>
    <t>소대여유</t>
    <phoneticPr fontId="3" type="noConversion"/>
  </si>
  <si>
    <t>후레임 블랙 /전면 버치그레이,라이트월넛 / 샴페인, 다크그레이</t>
    <phoneticPr fontId="3" type="noConversion"/>
  </si>
  <si>
    <t>ㄷ바</t>
    <phoneticPr fontId="3" type="noConversion"/>
  </si>
  <si>
    <t>소대기둥</t>
    <phoneticPr fontId="3" type="noConversion"/>
  </si>
  <si>
    <t>소대킷대</t>
    <phoneticPr fontId="3" type="noConversion"/>
  </si>
  <si>
    <t>보강대</t>
    <phoneticPr fontId="3" type="noConversion"/>
  </si>
  <si>
    <t>경첩방향소대방향</t>
    <phoneticPr fontId="3" type="noConversion"/>
  </si>
  <si>
    <t>후레임 화이트 / 전면 나무무늬 / 후면 샴페인</t>
    <phoneticPr fontId="3" type="noConversion"/>
  </si>
  <si>
    <t>양소대</t>
    <phoneticPr fontId="3" type="noConversion"/>
  </si>
  <si>
    <t>양소</t>
    <phoneticPr fontId="3" type="noConversion"/>
  </si>
  <si>
    <t>** 제작 후 확인 **</t>
    <phoneticPr fontId="3" type="noConversion"/>
  </si>
  <si>
    <t>소대=경첩</t>
    <phoneticPr fontId="3" type="noConversion"/>
  </si>
  <si>
    <t>소대≠경첩</t>
    <phoneticPr fontId="3" type="noConversion"/>
  </si>
  <si>
    <t>양</t>
    <phoneticPr fontId="3" type="noConversion"/>
  </si>
  <si>
    <t>동일</t>
    <phoneticPr fontId="3" type="noConversion"/>
  </si>
  <si>
    <t>후레임 블랙 /전면 다크그레이 / 후면 다크그레이</t>
    <phoneticPr fontId="3" type="noConversion"/>
  </si>
  <si>
    <t>유리</t>
    <phoneticPr fontId="3" type="noConversion"/>
  </si>
  <si>
    <t>후레임 블랙 /전면 와인레드 / 후면 와인레드</t>
    <phoneticPr fontId="3" type="noConversion"/>
  </si>
  <si>
    <t>알루미늄 색상</t>
    <phoneticPr fontId="3" type="noConversion"/>
  </si>
  <si>
    <t>후레임 블랙 /전면 버치그레이+그레이라인 / 후면 다크그레이</t>
    <phoneticPr fontId="3" type="noConversion"/>
  </si>
  <si>
    <t>판넬 색상</t>
    <phoneticPr fontId="3" type="noConversion"/>
  </si>
  <si>
    <t>개</t>
    <phoneticPr fontId="3" type="noConversion"/>
  </si>
  <si>
    <t>후레임 블랙 /전면 적삼목 / 후면 샴페인</t>
    <phoneticPr fontId="3" type="noConversion"/>
  </si>
  <si>
    <t xml:space="preserve">전자키 </t>
    <phoneticPr fontId="3" type="noConversion"/>
  </si>
  <si>
    <r>
      <rPr>
        <b/>
        <sz val="11"/>
        <color rgb="FF0070C0"/>
        <rFont val="맑은 고딕"/>
        <family val="3"/>
        <charset val="129"/>
        <scheme val="minor"/>
      </rPr>
      <t>후레임 화인</t>
    </r>
    <r>
      <rPr>
        <sz val="11"/>
        <color rgb="FF0070C0"/>
        <rFont val="맑은 고딕"/>
        <family val="3"/>
        <charset val="129"/>
        <scheme val="minor"/>
      </rPr>
      <t xml:space="preserve"> / 전면 버치그레이 / 후면 다크그레이</t>
    </r>
    <phoneticPr fontId="3" type="noConversion"/>
  </si>
  <si>
    <t>단조사이즈</t>
    <phoneticPr fontId="3" type="noConversion"/>
  </si>
  <si>
    <t>후레임 블랙 /전면 그레이라인 / 후면 실버</t>
    <phoneticPr fontId="3" type="noConversion"/>
  </si>
  <si>
    <t>문짝</t>
    <phoneticPr fontId="3" type="noConversion"/>
  </si>
  <si>
    <t>전면 샴페인 / 후면 샴페인</t>
    <phoneticPr fontId="3" type="noConversion"/>
  </si>
  <si>
    <t xml:space="preserve"> ㄷ 바</t>
    <phoneticPr fontId="3" type="noConversion"/>
  </si>
  <si>
    <t>전면 화이트 / 후면 화이트 / 소대 유리격자</t>
    <phoneticPr fontId="3" type="noConversion"/>
  </si>
  <si>
    <t>후레임 블랙 /전면 샴페인,화이트 / 후면 화이트</t>
    <phoneticPr fontId="3" type="noConversion"/>
  </si>
  <si>
    <t>후레임 블랙 / 전면 샴페인,화이트 / 후면 화이트</t>
    <phoneticPr fontId="3" type="noConversion"/>
  </si>
  <si>
    <t xml:space="preserve">후레임 책자확인 / 전체 화이트 </t>
    <phoneticPr fontId="3" type="noConversion"/>
  </si>
  <si>
    <r>
      <rPr>
        <b/>
        <sz val="11"/>
        <color theme="1"/>
        <rFont val="맑은 고딕"/>
        <family val="3"/>
        <charset val="129"/>
        <scheme val="minor"/>
      </rPr>
      <t>후레임 월넛</t>
    </r>
    <r>
      <rPr>
        <sz val="11"/>
        <color theme="1"/>
        <rFont val="맑은 고딕"/>
        <family val="2"/>
        <charset val="129"/>
        <scheme val="minor"/>
      </rPr>
      <t xml:space="preserve"> / 전면 샴페인 / 후면 샴페인</t>
    </r>
    <phoneticPr fontId="3" type="noConversion"/>
  </si>
  <si>
    <t>후레임 블랙 /전면 실버/ 후면 실버</t>
    <phoneticPr fontId="3" type="noConversion"/>
  </si>
  <si>
    <t xml:space="preserve">후레임 월넛 / 양면 샴페인 / 월넛 격자유리 </t>
    <phoneticPr fontId="3" type="noConversion"/>
  </si>
  <si>
    <t>게이트아이푸쉬풀 골드 리/무</t>
    <phoneticPr fontId="3" type="noConversion"/>
  </si>
  <si>
    <t xml:space="preserve">후레임 블랙 / 양면 샴페인/주석판넬 </t>
    <phoneticPr fontId="3" type="noConversion"/>
  </si>
  <si>
    <t>후레임 블랙 /전면 다크서스,적삼목 / 후면 다크그레이</t>
    <phoneticPr fontId="3" type="noConversion"/>
  </si>
  <si>
    <r>
      <rPr>
        <b/>
        <sz val="11"/>
        <color theme="1"/>
        <rFont val="맑은 고딕"/>
        <family val="3"/>
        <charset val="129"/>
        <scheme val="minor"/>
      </rPr>
      <t>후레임 화인 /</t>
    </r>
    <r>
      <rPr>
        <sz val="11"/>
        <color theme="1"/>
        <rFont val="맑은 고딕"/>
        <family val="2"/>
        <charset val="129"/>
        <scheme val="minor"/>
      </rPr>
      <t>전면 다크서스,적삼목 / 후면 다크그레이</t>
    </r>
    <phoneticPr fontId="3" type="noConversion"/>
  </si>
  <si>
    <t>ver.250916</t>
    <phoneticPr fontId="3" type="noConversion"/>
  </si>
  <si>
    <t>후레임 블랙 /전면 블랙,다크서스 / 후면 다크그레이/보석</t>
    <phoneticPr fontId="3" type="noConversion"/>
  </si>
  <si>
    <t>내용</t>
    <phoneticPr fontId="3" type="noConversion"/>
  </si>
  <si>
    <t>후레임 블랙 /전면 블랙,다크서스 / 후면 다크그레이 / 보석</t>
    <phoneticPr fontId="3" type="noConversion"/>
  </si>
  <si>
    <t>후렘블랙/전면 버치그레이/후면 다크그레이/문단조/ 유리바 화인</t>
    <phoneticPr fontId="3" type="noConversion"/>
  </si>
  <si>
    <t xml:space="preserve">  거래처</t>
    <phoneticPr fontId="3" type="noConversion"/>
  </si>
  <si>
    <t>신현대창호</t>
    <phoneticPr fontId="3" type="noConversion"/>
  </si>
  <si>
    <t>생산일정</t>
    <phoneticPr fontId="3" type="noConversion"/>
  </si>
  <si>
    <r>
      <t xml:space="preserve">후레임 블랙/전면 블랙 다크오크 / 후면블랙 / </t>
    </r>
    <r>
      <rPr>
        <b/>
        <sz val="11"/>
        <color rgb="FFFF0000"/>
        <rFont val="맑은 고딕"/>
        <family val="3"/>
        <charset val="129"/>
        <scheme val="minor"/>
      </rPr>
      <t>아쿠아유리</t>
    </r>
    <phoneticPr fontId="3" type="noConversion"/>
  </si>
  <si>
    <t xml:space="preserve">  비   고</t>
    <phoneticPr fontId="3" type="noConversion"/>
  </si>
  <si>
    <t>방문 . 배송 . 용차 . 화물</t>
    <phoneticPr fontId="3" type="noConversion"/>
  </si>
  <si>
    <t>출고일자</t>
    <phoneticPr fontId="3" type="noConversion"/>
  </si>
  <si>
    <t>9/4(목)</t>
    <phoneticPr fontId="3" type="noConversion"/>
  </si>
  <si>
    <r>
      <t xml:space="preserve">후렘블랙/전면 버치그레이 / 후면 다크그레이 / </t>
    </r>
    <r>
      <rPr>
        <b/>
        <sz val="11"/>
        <color rgb="FFFF0000"/>
        <rFont val="맑은 고딕"/>
        <family val="3"/>
        <charset val="129"/>
        <scheme val="minor"/>
      </rPr>
      <t>망입유리</t>
    </r>
    <r>
      <rPr>
        <b/>
        <sz val="11"/>
        <color rgb="FFFF0000"/>
        <rFont val="맑은 고딕"/>
        <family val="2"/>
        <charset val="129"/>
        <scheme val="minor"/>
      </rPr>
      <t>/유리바화인</t>
    </r>
    <phoneticPr fontId="3" type="noConversion"/>
  </si>
  <si>
    <r>
      <t xml:space="preserve">전체블랙 / </t>
    </r>
    <r>
      <rPr>
        <b/>
        <sz val="11"/>
        <color rgb="FFFF0000"/>
        <rFont val="맑은 고딕"/>
        <family val="3"/>
        <charset val="129"/>
        <scheme val="minor"/>
      </rPr>
      <t>망입유리</t>
    </r>
    <r>
      <rPr>
        <b/>
        <sz val="11"/>
        <color rgb="FFFF0000"/>
        <rFont val="맑은 고딕"/>
        <family val="2"/>
        <charset val="129"/>
        <scheme val="minor"/>
      </rPr>
      <t>/</t>
    </r>
    <r>
      <rPr>
        <b/>
        <sz val="11"/>
        <color rgb="FFFF0000"/>
        <rFont val="맑은 고딕"/>
        <family val="3"/>
        <charset val="129"/>
        <scheme val="minor"/>
      </rPr>
      <t>유리바 화인</t>
    </r>
    <phoneticPr fontId="3" type="noConversion"/>
  </si>
  <si>
    <t xml:space="preserve"> </t>
    <phoneticPr fontId="3" type="noConversion"/>
  </si>
  <si>
    <r>
      <t xml:space="preserve">후레임블랙/전면 다크오크,실버 / 후면 다크그레이 / </t>
    </r>
    <r>
      <rPr>
        <b/>
        <sz val="11"/>
        <color theme="1"/>
        <rFont val="맑은 고딕"/>
        <family val="3"/>
        <charset val="129"/>
        <scheme val="minor"/>
      </rPr>
      <t>유리바 화인</t>
    </r>
    <phoneticPr fontId="3" type="noConversion"/>
  </si>
  <si>
    <t>후레임 블랙/전면 다크오크,골드헤어라인 / 후면 샴페인</t>
    <phoneticPr fontId="3" type="noConversion"/>
  </si>
  <si>
    <t>사무실문의</t>
    <phoneticPr fontId="3" type="noConversion"/>
  </si>
  <si>
    <t>프레임 화인 / 전면 다크서스 / 후면 실버</t>
    <phoneticPr fontId="3" type="noConversion"/>
  </si>
  <si>
    <t>프레임 화인 / 전면 다크서스,다크오크 / 후면 다크그레이</t>
    <phoneticPr fontId="3" type="noConversion"/>
  </si>
  <si>
    <t>프레임 블랙 / 전면 다크서스,다크오크 / 후면 다크그레이</t>
    <phoneticPr fontId="3" type="noConversion"/>
  </si>
  <si>
    <t>프레임 화인 / 전후면 화이트</t>
    <phoneticPr fontId="3" type="noConversion"/>
  </si>
  <si>
    <t>후레임 블랙/전후면 다크그레이</t>
    <phoneticPr fontId="3" type="noConversion"/>
  </si>
  <si>
    <t>후레임 블랙/전면 블랙,애보니우드 / 후면 다크그레이</t>
    <phoneticPr fontId="3" type="noConversion"/>
  </si>
  <si>
    <t>후레임 블랙/전면 블랙,다크그레이 / 후면 다크그레이</t>
    <phoneticPr fontId="3" type="noConversion"/>
  </si>
  <si>
    <t>후레임 블랙/전면 블랙,샴페인 / 후면 샴페인</t>
    <phoneticPr fontId="3" type="noConversion"/>
  </si>
  <si>
    <t>후레임 블랙/전면 실버,다크그레이 / 후면 다크그레이</t>
    <phoneticPr fontId="3" type="noConversion"/>
  </si>
  <si>
    <t>후레임 블랙/전면 화이트 / 후면 화이트</t>
    <phoneticPr fontId="3" type="noConversion"/>
  </si>
  <si>
    <t>후레임 블랙/전면 레드와인 / 후면 레드와인</t>
    <phoneticPr fontId="3" type="noConversion"/>
  </si>
  <si>
    <t>후레임 화인 / 전면 블랙 / 후면 블랙</t>
    <phoneticPr fontId="3" type="noConversion"/>
  </si>
  <si>
    <t xml:space="preserve">후레임 블랙/전면 블랙,실버 / 후면 블랙 </t>
    <phoneticPr fontId="3" type="noConversion"/>
  </si>
  <si>
    <t xml:space="preserve">후레임 블랙/전면 블랙,레드와인 / 후면 레드와인 </t>
    <phoneticPr fontId="3" type="noConversion"/>
  </si>
  <si>
    <t xml:space="preserve">후레임 블랙/전면 블랙,실버 / 후면 실버 </t>
    <phoneticPr fontId="3" type="noConversion"/>
  </si>
  <si>
    <t xml:space="preserve">후레임 블랙/전면 그라파이트,다크그레이 / 후면 그라파이트 </t>
    <phoneticPr fontId="3" type="noConversion"/>
  </si>
  <si>
    <t>후레임 블랙/전면 딥블루 / 후면 딥블루</t>
    <phoneticPr fontId="3" type="noConversion"/>
  </si>
  <si>
    <t>후레임 블랙/전면 커피메탈릭,그라파이트 / 후면 다크그레이</t>
    <phoneticPr fontId="3" type="noConversion"/>
  </si>
  <si>
    <t>후레임 화인/전면 화이트 / 후면 화이트</t>
    <phoneticPr fontId="3" type="noConversion"/>
  </si>
  <si>
    <t>후레임 블랙/전면 다크그레이 / 후면 다크그레이</t>
    <phoneticPr fontId="3" type="noConversion"/>
  </si>
  <si>
    <t>후레임 블랙/전면 블랙 / 후면 블랙</t>
    <phoneticPr fontId="3" type="noConversion"/>
  </si>
  <si>
    <t>후레임 블랙/전면 블랙,노르딕월넛 / 후면 블랙</t>
    <phoneticPr fontId="3" type="noConversion"/>
  </si>
  <si>
    <t>후레임 블랙/전면 다크그레이,스테인레스 / 후면 다크그레이</t>
    <phoneticPr fontId="3" type="noConversion"/>
  </si>
  <si>
    <t xml:space="preserve">후레임 블랙/전면 그라파이트,다크서스 / 후면 그라파이트 </t>
    <phoneticPr fontId="3" type="noConversion"/>
  </si>
  <si>
    <t>후레임 블랙/전면 블랙,다크서스 / 후면 블랙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</si>
</sst>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.0_ "/>
  </numFmts>
  <fonts count="27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8" tint="-0.499984740745262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rgb="FF0070C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" borderId="14" xfId="0" applyFill="1" applyBorder="1">
      <alignment vertical="center"/>
    </xf>
    <xf numFmtId="0" fontId="0" fillId="3" borderId="17" xfId="0" applyFill="1" applyBorder="1" applyAlignment="1">
      <alignment horizontal="right" vertical="center"/>
    </xf>
    <xf numFmtId="0" fontId="0" fillId="3" borderId="18" xfId="0" applyFill="1" applyBorder="1" applyAlignment="1">
      <alignment horizontal="center" vertical="center"/>
    </xf>
    <xf numFmtId="0" fontId="1" fillId="3" borderId="18" xfId="0" applyFont="1" applyFill="1" applyBorder="1">
      <alignment vertical="center"/>
    </xf>
    <xf numFmtId="0" fontId="0" fillId="3" borderId="18" xfId="0" applyFill="1" applyBorder="1">
      <alignment vertical="center"/>
    </xf>
    <xf numFmtId="0" fontId="5" fillId="3" borderId="18" xfId="0" applyFont="1" applyFill="1" applyBorder="1">
      <alignment vertical="center"/>
    </xf>
    <xf numFmtId="0" fontId="5" fillId="3" borderId="19" xfId="0" applyFont="1" applyFill="1" applyBorder="1">
      <alignment vertical="center"/>
    </xf>
    <xf numFmtId="0" fontId="0" fillId="3" borderId="17" xfId="0" applyFill="1" applyBorder="1">
      <alignment vertical="center"/>
    </xf>
    <xf numFmtId="0" fontId="0" fillId="0" borderId="19" xfId="0" applyBorder="1">
      <alignment vertical="center"/>
    </xf>
    <xf numFmtId="0" fontId="0" fillId="3" borderId="17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1" xfId="0" applyFill="1" applyBorder="1" applyProtection="1">
      <alignment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20" xfId="0" applyFill="1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0" fillId="3" borderId="15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5" fillId="3" borderId="1" xfId="0" applyFont="1" applyFill="1" applyBorder="1">
      <alignment vertical="center"/>
    </xf>
    <xf numFmtId="0" fontId="5" fillId="3" borderId="16" xfId="0" applyFont="1" applyFill="1" applyBorder="1">
      <alignment vertical="center"/>
    </xf>
    <xf numFmtId="0" fontId="0" fillId="3" borderId="15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3" borderId="29" xfId="0" applyFill="1" applyBorder="1" applyAlignment="1" applyProtection="1">
      <alignment horizontal="center" vertical="center"/>
      <protection locked="0"/>
    </xf>
    <xf numFmtId="0" fontId="0" fillId="0" borderId="30" xfId="0" applyBorder="1" applyAlignment="1">
      <alignment horizontal="center" vertical="center"/>
    </xf>
    <xf numFmtId="0" fontId="0" fillId="0" borderId="28" xfId="0" applyBorder="1">
      <alignment vertical="center"/>
    </xf>
    <xf numFmtId="0" fontId="0" fillId="2" borderId="29" xfId="0" applyFill="1" applyBorder="1" applyAlignment="1">
      <alignment horizontal="center" vertical="center"/>
    </xf>
    <xf numFmtId="0" fontId="0" fillId="0" borderId="30" xfId="0" applyBorder="1">
      <alignment vertical="center"/>
    </xf>
    <xf numFmtId="0" fontId="6" fillId="0" borderId="0" xfId="0" applyFont="1">
      <alignment vertical="center"/>
    </xf>
    <xf numFmtId="0" fontId="0" fillId="0" borderId="31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" xfId="0" applyBorder="1">
      <alignment vertical="center"/>
    </xf>
    <xf numFmtId="0" fontId="0" fillId="0" borderId="16" xfId="0" applyBorder="1">
      <alignment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8" xfId="0" applyFont="1" applyBorder="1">
      <alignment vertical="center"/>
    </xf>
    <xf numFmtId="0" fontId="0" fillId="0" borderId="27" xfId="0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9" fillId="0" borderId="15" xfId="0" applyFont="1" applyBorder="1">
      <alignment vertical="center"/>
    </xf>
    <xf numFmtId="0" fontId="9" fillId="0" borderId="1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" fontId="0" fillId="0" borderId="17" xfId="0" applyNumberFormat="1" applyBorder="1" applyAlignment="1">
      <alignment horizontal="right" vertical="center"/>
    </xf>
    <xf numFmtId="0" fontId="0" fillId="0" borderId="43" xfId="0" applyBorder="1" applyAlignment="1">
      <alignment horizontal="left" vertical="center"/>
    </xf>
    <xf numFmtId="0" fontId="0" fillId="0" borderId="15" xfId="0" applyBorder="1" applyAlignment="1">
      <alignment horizontal="right" vertical="center"/>
    </xf>
    <xf numFmtId="0" fontId="0" fillId="0" borderId="38" xfId="0" applyBorder="1" applyAlignment="1">
      <alignment horizontal="left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>
      <alignment vertical="center"/>
    </xf>
    <xf numFmtId="0" fontId="11" fillId="3" borderId="16" xfId="0" applyFont="1" applyFill="1" applyBorder="1">
      <alignment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53" xfId="0" applyBorder="1">
      <alignment vertical="center"/>
    </xf>
    <xf numFmtId="0" fontId="0" fillId="0" borderId="5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4" xfId="0" applyBorder="1">
      <alignment vertical="center"/>
    </xf>
    <xf numFmtId="0" fontId="0" fillId="0" borderId="55" xfId="0" applyBorder="1">
      <alignment vertical="center"/>
    </xf>
    <xf numFmtId="0" fontId="0" fillId="0" borderId="52" xfId="0" applyBorder="1">
      <alignment vertical="center"/>
    </xf>
    <xf numFmtId="0" fontId="14" fillId="0" borderId="0" xfId="0" applyFont="1" applyAlignment="1">
      <alignment horizontal="center" vertical="center"/>
    </xf>
    <xf numFmtId="0" fontId="0" fillId="0" borderId="22" xfId="0" applyBorder="1">
      <alignment vertical="center"/>
    </xf>
    <xf numFmtId="0" fontId="1" fillId="3" borderId="15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7" fillId="0" borderId="52" xfId="0" applyFont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2" xfId="0" applyBorder="1">
      <alignment vertical="center"/>
    </xf>
    <xf numFmtId="0" fontId="0" fillId="0" borderId="56" xfId="0" applyBorder="1">
      <alignment vertical="center"/>
    </xf>
    <xf numFmtId="0" fontId="0" fillId="0" borderId="57" xfId="0" applyBorder="1" applyAlignment="1" applyProtection="1">
      <alignment horizontal="center" vertical="center"/>
      <protection locked="0"/>
    </xf>
    <xf numFmtId="0" fontId="19" fillId="6" borderId="41" xfId="0" applyFont="1" applyFill="1" applyBorder="1" applyAlignment="1" applyProtection="1">
      <alignment horizontal="center" vertical="center"/>
      <protection locked="0"/>
    </xf>
    <xf numFmtId="0" fontId="19" fillId="6" borderId="49" xfId="0" applyFont="1" applyFill="1" applyBorder="1" applyAlignment="1" applyProtection="1">
      <alignment horizontal="center" vertical="center"/>
      <protection locked="0"/>
    </xf>
    <xf numFmtId="0" fontId="19" fillId="6" borderId="42" xfId="0" applyFont="1" applyFill="1" applyBorder="1" applyAlignment="1" applyProtection="1">
      <alignment horizontal="center" vertical="center"/>
      <protection locked="0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 applyProtection="1">
      <alignment horizontal="center" vertical="center"/>
      <protection locked="0"/>
    </xf>
    <xf numFmtId="0" fontId="19" fillId="6" borderId="50" xfId="0" applyFont="1" applyFill="1" applyBorder="1" applyAlignment="1" applyProtection="1">
      <alignment horizontal="center" vertical="center"/>
      <protection locked="0"/>
    </xf>
    <xf numFmtId="0" fontId="19" fillId="6" borderId="2" xfId="0" applyFont="1" applyFill="1" applyBorder="1" applyAlignment="1" applyProtection="1">
      <alignment horizontal="center" vertical="center"/>
      <protection locked="0"/>
    </xf>
    <xf numFmtId="0" fontId="19" fillId="6" borderId="56" xfId="0" applyFont="1" applyFill="1" applyBorder="1" applyAlignment="1" applyProtection="1">
      <alignment horizontal="center" vertical="center"/>
      <protection locked="0"/>
    </xf>
    <xf numFmtId="0" fontId="4" fillId="0" borderId="57" xfId="0" applyFont="1" applyBorder="1" applyAlignment="1" applyProtection="1">
      <alignment horizontal="center" vertical="center"/>
      <protection locked="0"/>
    </xf>
    <xf numFmtId="0" fontId="20" fillId="0" borderId="46" xfId="0" applyFont="1" applyBorder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176" fontId="20" fillId="0" borderId="53" xfId="0" applyNumberFormat="1" applyFont="1" applyBorder="1" applyAlignment="1" applyProtection="1">
      <alignment horizontal="center" vertical="center"/>
      <protection locked="0"/>
    </xf>
    <xf numFmtId="0" fontId="20" fillId="0" borderId="19" xfId="0" applyFont="1" applyBorder="1" applyAlignment="1" applyProtection="1">
      <alignment horizontal="center" vertical="center"/>
      <protection locked="0"/>
    </xf>
    <xf numFmtId="0" fontId="4" fillId="0" borderId="59" xfId="0" applyFont="1" applyBorder="1" applyAlignment="1" applyProtection="1">
      <alignment horizontal="center" vertical="center"/>
      <protection locked="0"/>
    </xf>
    <xf numFmtId="0" fontId="20" fillId="0" borderId="50" xfId="0" applyFont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20" fillId="0" borderId="51" xfId="0" applyFont="1" applyBorder="1" applyAlignment="1" applyProtection="1">
      <alignment horizontal="center" vertical="center"/>
      <protection locked="0"/>
    </xf>
    <xf numFmtId="0" fontId="20" fillId="0" borderId="30" xfId="0" applyFont="1" applyBorder="1" applyAlignment="1" applyProtection="1">
      <alignment horizontal="center" vertical="center"/>
      <protection locked="0"/>
    </xf>
    <xf numFmtId="176" fontId="16" fillId="0" borderId="41" xfId="0" applyNumberFormat="1" applyFont="1" applyBorder="1" applyAlignment="1" applyProtection="1">
      <alignment horizontal="center" vertical="center" wrapText="1"/>
      <protection locked="0"/>
    </xf>
    <xf numFmtId="176" fontId="16" fillId="0" borderId="42" xfId="0" applyNumberFormat="1" applyFont="1" applyBorder="1" applyAlignment="1" applyProtection="1">
      <alignment horizontal="center" vertical="center"/>
      <protection locked="0"/>
    </xf>
    <xf numFmtId="176" fontId="4" fillId="0" borderId="60" xfId="0" applyNumberFormat="1" applyFont="1" applyBorder="1" applyAlignment="1" applyProtection="1">
      <alignment horizontal="center" vertical="center"/>
      <protection locked="0"/>
    </xf>
    <xf numFmtId="176" fontId="4" fillId="0" borderId="58" xfId="0" applyNumberFormat="1" applyFont="1" applyBorder="1" applyAlignment="1" applyProtection="1">
      <alignment horizontal="center" vertical="center"/>
      <protection locked="0"/>
    </xf>
    <xf numFmtId="176" fontId="4" fillId="0" borderId="4" xfId="0" applyNumberFormat="1" applyFont="1" applyBorder="1" applyAlignment="1" applyProtection="1">
      <alignment horizontal="center" vertical="center"/>
      <protection locked="0"/>
    </xf>
    <xf numFmtId="176" fontId="21" fillId="0" borderId="60" xfId="0" applyNumberFormat="1" applyFont="1" applyBorder="1" applyAlignment="1" applyProtection="1">
      <alignment horizontal="center" vertical="center"/>
      <protection locked="0"/>
    </xf>
    <xf numFmtId="176" fontId="21" fillId="0" borderId="6" xfId="0" applyNumberFormat="1" applyFont="1" applyBorder="1" applyAlignment="1" applyProtection="1">
      <alignment horizontal="center" vertical="center"/>
      <protection locked="0"/>
    </xf>
    <xf numFmtId="176" fontId="16" fillId="0" borderId="50" xfId="0" applyNumberFormat="1" applyFont="1" applyBorder="1" applyAlignment="1" applyProtection="1">
      <alignment horizontal="center" vertical="center"/>
      <protection locked="0"/>
    </xf>
    <xf numFmtId="176" fontId="16" fillId="0" borderId="56" xfId="0" applyNumberFormat="1" applyFont="1" applyBorder="1" applyAlignment="1" applyProtection="1">
      <alignment horizontal="center" vertical="center"/>
      <protection locked="0"/>
    </xf>
    <xf numFmtId="176" fontId="4" fillId="0" borderId="37" xfId="0" applyNumberFormat="1" applyFont="1" applyBorder="1" applyAlignment="1" applyProtection="1">
      <alignment horizontal="center" vertical="center"/>
      <protection locked="0"/>
    </xf>
    <xf numFmtId="176" fontId="4" fillId="0" borderId="38" xfId="0" applyNumberFormat="1" applyFont="1" applyBorder="1" applyAlignment="1" applyProtection="1">
      <alignment horizontal="center" vertical="center"/>
      <protection locked="0"/>
    </xf>
    <xf numFmtId="176" fontId="4" fillId="0" borderId="14" xfId="0" applyNumberFormat="1" applyFont="1" applyBorder="1" applyAlignment="1" applyProtection="1">
      <alignment horizontal="center" vertical="center"/>
      <protection locked="0"/>
    </xf>
    <xf numFmtId="176" fontId="21" fillId="0" borderId="37" xfId="0" applyNumberFormat="1" applyFont="1" applyBorder="1" applyAlignment="1" applyProtection="1">
      <alignment horizontal="center" vertical="center"/>
      <protection locked="0"/>
    </xf>
    <xf numFmtId="176" fontId="21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177" fontId="8" fillId="0" borderId="1" xfId="0" applyNumberFormat="1" applyFont="1" applyBorder="1">
      <alignment vertical="center"/>
    </xf>
    <xf numFmtId="0" fontId="26" fillId="0" borderId="1" xfId="0" applyFont="1" applyBorder="1">
      <alignment vertical="center"/>
    </xf>
    <xf numFmtId="0" fontId="0" fillId="0" borderId="5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</cellXfs>
  <cellStyles count="1"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31</xdr:row>
      <xdr:rowOff>0</xdr:rowOff>
    </xdr:from>
    <xdr:to>
      <xdr:col>5</xdr:col>
      <xdr:colOff>0</xdr:colOff>
      <xdr:row>43</xdr:row>
      <xdr:rowOff>186738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599087-3194-4B7D-80D4-0363558F4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6534150"/>
          <a:ext cx="0" cy="2701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116061</xdr:colOff>
      <xdr:row>30</xdr:row>
      <xdr:rowOff>78442</xdr:rowOff>
    </xdr:from>
    <xdr:to>
      <xdr:col>7</xdr:col>
      <xdr:colOff>590711</xdr:colOff>
      <xdr:row>42</xdr:row>
      <xdr:rowOff>177053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784C177-4A14-4939-8320-A023D327B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0411" y="6517342"/>
          <a:ext cx="1998650" cy="2613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E651A-40C7-4D3E-88B1-BEB5998AF154}">
  <dimension ref="A1:BX101"/>
  <sheetViews>
    <sheetView tabSelected="1" workbookViewId="0">
      <selection sqref="A1:XFD1048576"/>
    </sheetView>
  </sheetViews>
  <sheetFormatPr defaultColWidth="9" defaultRowHeight="16.5" outlineLevelCol="1"/>
  <cols>
    <col min="1" max="1" width="11.125" style="3" customWidth="1"/>
    <col min="2" max="2" width="13.875" style="3" customWidth="1"/>
    <col min="3" max="4" width="9" style="3"/>
    <col min="5" max="5" width="13.75" style="3" customWidth="1"/>
    <col min="6" max="6" width="10.625" style="3" bestFit="1" customWidth="1"/>
    <col min="7" max="7" width="9.375" style="3" customWidth="1"/>
    <col min="8" max="8" width="12.625" style="3" customWidth="1"/>
    <col min="9" max="9" width="9" style="3"/>
    <col min="10" max="10" width="0" style="3" hidden="1" customWidth="1"/>
    <col min="11" max="11" width="17.625" style="3" hidden="1" customWidth="1" outlineLevel="1"/>
    <col min="12" max="12" width="13.75" style="3" hidden="1" customWidth="1" outlineLevel="1"/>
    <col min="13" max="13" width="13.375" style="3" hidden="1" customWidth="1" outlineLevel="1"/>
    <col min="14" max="14" width="9.875" style="3" hidden="1" customWidth="1" outlineLevel="1"/>
    <col min="15" max="15" width="4" style="3" hidden="1" customWidth="1" outlineLevel="1"/>
    <col min="16" max="16" width="7.75" style="3" hidden="1" customWidth="1" collapsed="1"/>
    <col min="17" max="42" width="2.625" style="3" hidden="1" customWidth="1" outlineLevel="1"/>
    <col min="43" max="43" width="2.625" style="3" hidden="1" customWidth="1" collapsed="1"/>
    <col min="44" max="45" width="4.25" style="3" customWidth="1" outlineLevel="1"/>
    <col min="46" max="46" width="5.125" style="3" customWidth="1" outlineLevel="1"/>
    <col min="47" max="47" width="4.25" style="3" customWidth="1" outlineLevel="1"/>
    <col min="48" max="48" width="6.125" style="3" customWidth="1" outlineLevel="1"/>
    <col min="49" max="49" width="4.25" style="3" customWidth="1" outlineLevel="1"/>
    <col min="50" max="50" width="5.125" style="3" customWidth="1" outlineLevel="1"/>
    <col min="51" max="51" width="6.75" style="3" customWidth="1" outlineLevel="1"/>
    <col min="52" max="52" width="6.25" style="3" customWidth="1" outlineLevel="1"/>
    <col min="53" max="53" width="4.25" style="3" customWidth="1" outlineLevel="1"/>
    <col min="54" max="54" width="5.125" style="3" customWidth="1" outlineLevel="1"/>
    <col min="55" max="55" width="6.75" style="3" customWidth="1" outlineLevel="1"/>
    <col min="56" max="56" width="8.5" style="3" customWidth="1" outlineLevel="1"/>
    <col min="57" max="57" width="6.75" style="3" customWidth="1" outlineLevel="1"/>
    <col min="58" max="58" width="8.5" style="3" customWidth="1" outlineLevel="1"/>
    <col min="59" max="59" width="12.375" style="3" customWidth="1" outlineLevel="1"/>
    <col min="60" max="60" width="61.25" style="3" customWidth="1" outlineLevel="1"/>
    <col min="61" max="61" width="15.375" style="3" customWidth="1" outlineLevel="1"/>
    <col min="62" max="62" width="10.375" style="3" customWidth="1" outlineLevel="1"/>
    <col min="63" max="63" width="7.875" style="3" customWidth="1" outlineLevel="1"/>
    <col min="64" max="64" width="6.75" style="3" customWidth="1" outlineLevel="1"/>
    <col min="65" max="65" width="5.125" style="3" customWidth="1" outlineLevel="1"/>
    <col min="66" max="66" width="10.375" style="3" customWidth="1" outlineLevel="1"/>
    <col min="67" max="67" width="8.625" style="3" customWidth="1" outlineLevel="1"/>
    <col min="68" max="68" width="5.375" style="3" customWidth="1" outlineLevel="1"/>
    <col min="69" max="71" width="4.25" style="3" customWidth="1" outlineLevel="1"/>
    <col min="72" max="73" width="5.125" style="3" customWidth="1" outlineLevel="1"/>
    <col min="74" max="75" width="6.125" style="3" customWidth="1" outlineLevel="1"/>
    <col min="76" max="76" width="8.625" style="3" customWidth="1" outlineLevel="1"/>
    <col min="77" max="121" width="8.625" style="3" customWidth="1"/>
    <col min="122" max="16384" width="9" style="3"/>
  </cols>
  <sheetData>
    <row r="1" spans="1:75" ht="17.25" customHeight="1">
      <c r="A1" s="1" t="s">
        <v>0</v>
      </c>
      <c r="B1" s="1"/>
      <c r="C1" s="1"/>
      <c r="D1" s="1"/>
      <c r="E1" s="1"/>
      <c r="F1" s="1"/>
      <c r="G1" s="1"/>
      <c r="H1" s="2">
        <f ca="1">TODAY()</f>
        <v>46175</v>
      </c>
      <c r="K1" t="s">
        <v>1</v>
      </c>
      <c r="L1"/>
      <c r="M1"/>
      <c r="N1"/>
      <c r="O1"/>
      <c r="P1"/>
      <c r="Q1" s="4" t="s">
        <v>2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</row>
    <row r="2" spans="1:75" ht="18" customHeight="1" thickBot="1">
      <c r="A2" s="6"/>
      <c r="B2" s="6"/>
      <c r="C2" s="6"/>
      <c r="D2" s="6"/>
      <c r="E2" s="6"/>
      <c r="F2" s="6"/>
      <c r="G2" s="6"/>
      <c r="H2" s="2"/>
      <c r="K2" s="4" t="s">
        <v>3</v>
      </c>
      <c r="L2" s="7" t="s">
        <v>4</v>
      </c>
      <c r="M2" s="7" t="str">
        <f>"전체높이-"&amp;AI3</f>
        <v>전체높이-161</v>
      </c>
      <c r="N2" s="8"/>
      <c r="O2" s="9"/>
      <c r="P2" s="9"/>
      <c r="Q2" s="4" t="s">
        <v>5</v>
      </c>
      <c r="R2" s="4"/>
      <c r="S2" s="4"/>
      <c r="T2" s="4" t="s">
        <v>6</v>
      </c>
      <c r="U2" s="4"/>
      <c r="V2" s="4"/>
      <c r="W2" s="4" t="s">
        <v>7</v>
      </c>
      <c r="X2" s="4"/>
      <c r="Y2" s="4"/>
      <c r="Z2" s="4" t="s">
        <v>8</v>
      </c>
      <c r="AA2" s="4"/>
      <c r="AB2" s="4"/>
      <c r="AC2" s="4" t="s">
        <v>9</v>
      </c>
      <c r="AD2" s="4"/>
      <c r="AE2" s="4"/>
      <c r="AF2" s="4" t="s">
        <v>10</v>
      </c>
      <c r="AG2" s="4"/>
      <c r="AH2" s="4"/>
      <c r="AI2" s="4" t="s">
        <v>11</v>
      </c>
      <c r="AJ2" s="4"/>
      <c r="AK2" s="4"/>
      <c r="BH2" s="10"/>
      <c r="BI2" s="10"/>
      <c r="BJ2" s="10"/>
      <c r="BK2" s="10"/>
      <c r="BL2" s="10"/>
      <c r="BM2" s="10"/>
    </row>
    <row r="3" spans="1:75" ht="17.25" thickBot="1">
      <c r="A3" s="11" t="s">
        <v>12</v>
      </c>
      <c r="B3" s="12" t="s">
        <v>13</v>
      </c>
      <c r="C3" s="13">
        <v>316</v>
      </c>
      <c r="D3" s="14"/>
      <c r="E3" s="15" t="s">
        <v>14</v>
      </c>
      <c r="F3" s="16"/>
      <c r="G3" s="17"/>
      <c r="H3"/>
      <c r="I3"/>
      <c r="J3" s="18"/>
      <c r="K3" s="4"/>
      <c r="L3" s="7"/>
      <c r="M3" s="4"/>
      <c r="N3" s="19"/>
      <c r="O3" s="20"/>
      <c r="P3" s="20"/>
      <c r="Q3" s="4">
        <v>35</v>
      </c>
      <c r="R3" s="4"/>
      <c r="S3" s="4"/>
      <c r="T3" s="4">
        <v>7</v>
      </c>
      <c r="U3" s="4"/>
      <c r="V3" s="4"/>
      <c r="W3" s="4">
        <v>86</v>
      </c>
      <c r="X3" s="4"/>
      <c r="Y3" s="4"/>
      <c r="Z3" s="4">
        <v>3</v>
      </c>
      <c r="AA3" s="4"/>
      <c r="AB3" s="4"/>
      <c r="AC3" s="4">
        <f>Q16</f>
        <v>30</v>
      </c>
      <c r="AD3" s="4"/>
      <c r="AE3" s="4"/>
      <c r="AF3" s="4">
        <f>C6</f>
        <v>0</v>
      </c>
      <c r="AG3" s="4"/>
      <c r="AH3" s="4"/>
      <c r="AI3" s="4">
        <f>SUM(Q3:AH3)</f>
        <v>161</v>
      </c>
      <c r="AJ3" s="4"/>
      <c r="AK3" s="4"/>
      <c r="AR3" s="21"/>
      <c r="AS3" s="22" t="s">
        <v>15</v>
      </c>
      <c r="AT3" s="23"/>
      <c r="AU3" s="23"/>
      <c r="AV3" s="23"/>
      <c r="AW3" s="23"/>
      <c r="AX3" s="23"/>
      <c r="AY3" s="23"/>
      <c r="AZ3" s="23"/>
      <c r="BA3" s="23"/>
      <c r="BB3" s="23"/>
      <c r="BC3" s="24" t="s">
        <v>16</v>
      </c>
      <c r="BD3" s="24" t="s">
        <v>17</v>
      </c>
      <c r="BE3" s="24" t="s">
        <v>18</v>
      </c>
      <c r="BF3" s="24" t="s">
        <v>19</v>
      </c>
      <c r="BG3" s="24" t="s">
        <v>20</v>
      </c>
      <c r="BH3" s="24" t="s">
        <v>21</v>
      </c>
      <c r="BI3" s="25" t="s">
        <v>22</v>
      </c>
      <c r="BJ3" s="3" t="s">
        <v>23</v>
      </c>
      <c r="BK3" s="3" t="s">
        <v>24</v>
      </c>
      <c r="BL3" s="3" t="s">
        <v>25</v>
      </c>
      <c r="BM3" s="3">
        <v>701</v>
      </c>
      <c r="BN3" s="3" t="s">
        <v>26</v>
      </c>
      <c r="BP3"/>
      <c r="BQ3"/>
      <c r="BR3" s="10"/>
      <c r="BS3" s="10"/>
      <c r="BT3" s="10"/>
      <c r="BW3" s="3">
        <f>1760-90-895-100</f>
        <v>675</v>
      </c>
    </row>
    <row r="4" spans="1:75" ht="16.5" customHeight="1">
      <c r="A4" s="26"/>
      <c r="B4" s="27" t="s">
        <v>27</v>
      </c>
      <c r="C4" s="28">
        <v>1240</v>
      </c>
      <c r="D4" s="29"/>
      <c r="E4" s="30"/>
      <c r="F4" s="4"/>
      <c r="G4" s="31"/>
      <c r="H4"/>
      <c r="I4"/>
      <c r="J4" s="18"/>
      <c r="K4" s="4"/>
      <c r="L4" s="7"/>
      <c r="M4" s="4"/>
      <c r="N4" s="19"/>
      <c r="AR4" s="32">
        <v>274</v>
      </c>
      <c r="AS4" s="33">
        <f>BQ14</f>
        <v>346</v>
      </c>
      <c r="AT4" s="34">
        <f>BU13</f>
        <v>402</v>
      </c>
      <c r="AU4" s="35">
        <f>AS4</f>
        <v>346</v>
      </c>
      <c r="AV4" s="35">
        <f>BT13</f>
        <v>420</v>
      </c>
      <c r="AW4" s="35"/>
      <c r="AX4" s="35"/>
      <c r="AY4" s="34"/>
      <c r="AZ4" s="36"/>
      <c r="BA4" s="37">
        <f>AS4</f>
        <v>346</v>
      </c>
      <c r="BB4" s="38">
        <f>BT11</f>
        <v>2034</v>
      </c>
      <c r="BC4" s="39">
        <v>1</v>
      </c>
      <c r="BD4" s="36">
        <v>0</v>
      </c>
      <c r="BE4" s="36">
        <v>1</v>
      </c>
      <c r="BF4" s="40"/>
      <c r="BG4" s="41">
        <v>240</v>
      </c>
      <c r="BH4" s="42" t="s">
        <v>28</v>
      </c>
      <c r="BI4" s="43" t="str">
        <f>"가운데판넬  "&amp;AV4</f>
        <v>가운데판넬  420</v>
      </c>
      <c r="BJ4" s="44">
        <v>1</v>
      </c>
      <c r="BK4" s="3">
        <f>ROUNDDOWN(((3.5+3+AT4+AT4+10+140)+(3.5+3+AT4+AT4+AV4-10-250))/2,-1)</f>
        <v>960</v>
      </c>
      <c r="BL4" s="3">
        <f>ROUNDDOWN(((3.5+3+AT4+AT4+10+120)+(3.5+3+AT4+AT4+AV4-10-270))/2,-1)</f>
        <v>940</v>
      </c>
      <c r="BM4" s="3">
        <f>ROUNDDOWN(((3.5+3+AT4+AT4+10+110)+(3.5+3+AT4+AT4+AV4-10-230))/2,-1)</f>
        <v>960</v>
      </c>
      <c r="BN4" s="3">
        <f>ROUNDDOWN(((3.5+3+AT4+AT4+10+100)+(3.5+3+AT4+AT4+AV4-10-295))/2,-1)</f>
        <v>920</v>
      </c>
      <c r="BQ4" s="4"/>
      <c r="BR4" s="4"/>
      <c r="BS4" s="4"/>
      <c r="BT4" s="4"/>
      <c r="BU4" s="4"/>
      <c r="BV4" s="4"/>
      <c r="BW4" s="3">
        <f>BW3/2</f>
        <v>337.5</v>
      </c>
    </row>
    <row r="5" spans="1:75">
      <c r="A5" s="26"/>
      <c r="B5" s="27" t="s">
        <v>29</v>
      </c>
      <c r="C5" s="28">
        <v>2200</v>
      </c>
      <c r="D5" s="29"/>
      <c r="E5" s="45" t="s">
        <v>30</v>
      </c>
      <c r="F5" s="46"/>
      <c r="G5" s="47" t="s">
        <v>31</v>
      </c>
      <c r="H5"/>
      <c r="I5"/>
      <c r="J5" s="18"/>
      <c r="K5" s="4"/>
      <c r="L5" s="7"/>
      <c r="M5" s="4"/>
      <c r="N5" s="16"/>
      <c r="O5" s="48"/>
      <c r="P5" s="48"/>
      <c r="Q5" s="4" t="s">
        <v>32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>
        <v>960</v>
      </c>
      <c r="AD5" s="4"/>
      <c r="AE5" s="4"/>
      <c r="AR5" s="32">
        <v>275</v>
      </c>
      <c r="AS5" s="49">
        <f>BQ14</f>
        <v>346</v>
      </c>
      <c r="AT5" s="50">
        <f>AT4</f>
        <v>402</v>
      </c>
      <c r="AU5" s="51">
        <f>AS5</f>
        <v>346</v>
      </c>
      <c r="AV5" s="51">
        <f>AV4</f>
        <v>420</v>
      </c>
      <c r="AW5" s="51"/>
      <c r="AX5" s="51"/>
      <c r="AY5" s="52"/>
      <c r="AZ5" s="52"/>
      <c r="BA5" s="53">
        <f>BA4</f>
        <v>346</v>
      </c>
      <c r="BB5" s="54">
        <f>BB4</f>
        <v>2034</v>
      </c>
      <c r="BC5" s="55">
        <v>1</v>
      </c>
      <c r="BD5" s="50">
        <v>0</v>
      </c>
      <c r="BE5" s="50">
        <v>1</v>
      </c>
      <c r="BF5" s="29"/>
      <c r="BG5" s="55">
        <v>240</v>
      </c>
      <c r="BH5" s="5" t="s">
        <v>33</v>
      </c>
      <c r="BI5" s="29" t="str">
        <f>BI4</f>
        <v>가운데판넬  420</v>
      </c>
      <c r="BJ5" s="44">
        <v>1</v>
      </c>
      <c r="BK5" s="3">
        <f>BK4</f>
        <v>960</v>
      </c>
      <c r="BL5" s="3">
        <f>BL4</f>
        <v>940</v>
      </c>
      <c r="BM5" s="3">
        <f>BM4</f>
        <v>960</v>
      </c>
      <c r="BN5" s="3">
        <f>BN4</f>
        <v>920</v>
      </c>
      <c r="BQ5" s="4"/>
      <c r="BR5" s="4"/>
      <c r="BS5" s="4"/>
      <c r="BT5" s="4"/>
      <c r="BU5" s="4"/>
      <c r="BV5" s="4"/>
      <c r="BW5" s="3">
        <f>BW4+8</f>
        <v>345.5</v>
      </c>
    </row>
    <row r="6" spans="1:75" ht="17.25" thickBot="1">
      <c r="A6" s="26"/>
      <c r="B6" s="27" t="s">
        <v>10</v>
      </c>
      <c r="C6" s="28"/>
      <c r="D6" s="29"/>
      <c r="E6" s="30"/>
      <c r="F6" s="4"/>
      <c r="G6" s="31"/>
      <c r="H6"/>
      <c r="I6"/>
      <c r="J6" s="18"/>
      <c r="K6" s="4"/>
      <c r="L6" s="5" t="s">
        <v>8</v>
      </c>
      <c r="M6" s="5" t="str">
        <f>"문넓이-"&amp;AC7</f>
        <v>문넓이-28</v>
      </c>
      <c r="N6" s="5">
        <f>AC5-AC7</f>
        <v>932</v>
      </c>
      <c r="O6" s="5"/>
      <c r="P6" s="5"/>
      <c r="Q6" s="4" t="s">
        <v>34</v>
      </c>
      <c r="R6" s="4"/>
      <c r="S6" s="4"/>
      <c r="T6" s="4" t="s">
        <v>35</v>
      </c>
      <c r="U6" s="4"/>
      <c r="V6" s="4"/>
      <c r="W6" s="4" t="s">
        <v>36</v>
      </c>
      <c r="X6" s="4"/>
      <c r="Y6" s="4"/>
      <c r="Z6" s="4"/>
      <c r="AA6" s="4"/>
      <c r="AB6" s="4"/>
      <c r="AC6" s="4" t="s">
        <v>11</v>
      </c>
      <c r="AD6" s="4"/>
      <c r="AE6" s="4"/>
      <c r="AR6" s="32">
        <v>259</v>
      </c>
      <c r="AS6" s="49">
        <f>BQ16</f>
        <v>120</v>
      </c>
      <c r="AT6" s="52">
        <f>BT11</f>
        <v>2034</v>
      </c>
      <c r="AU6" s="50">
        <f>BR16</f>
        <v>206</v>
      </c>
      <c r="AV6" s="52">
        <f>BT11</f>
        <v>2034</v>
      </c>
      <c r="AW6" s="52"/>
      <c r="AX6" s="52"/>
      <c r="AY6" s="50"/>
      <c r="AZ6" s="52"/>
      <c r="BA6" s="53"/>
      <c r="BB6" s="54"/>
      <c r="BC6" s="55">
        <v>1</v>
      </c>
      <c r="BD6" s="50">
        <v>0</v>
      </c>
      <c r="BE6" s="50">
        <v>0</v>
      </c>
      <c r="BF6" s="29"/>
      <c r="BG6" s="55">
        <v>100</v>
      </c>
      <c r="BH6" s="5" t="s">
        <v>37</v>
      </c>
      <c r="BI6" s="29" t="s">
        <v>38</v>
      </c>
      <c r="BJ6" s="44">
        <v>0</v>
      </c>
      <c r="BW6" s="3">
        <f>BW5-102</f>
        <v>243.5</v>
      </c>
    </row>
    <row r="7" spans="1:75">
      <c r="A7" s="26"/>
      <c r="B7" s="27" t="s">
        <v>39</v>
      </c>
      <c r="C7" s="28" t="s">
        <v>40</v>
      </c>
      <c r="D7" s="29"/>
      <c r="E7" s="30" t="s">
        <v>41</v>
      </c>
      <c r="F7" s="4"/>
      <c r="G7" s="31"/>
      <c r="H7"/>
      <c r="I7"/>
      <c r="J7"/>
      <c r="K7" s="5" t="s">
        <v>42</v>
      </c>
      <c r="L7" s="56">
        <f>IF(C7="없음",C4-130,C10)</f>
        <v>960</v>
      </c>
      <c r="M7" s="43">
        <f>C5-AI3</f>
        <v>2039</v>
      </c>
      <c r="Q7" s="4">
        <v>20</v>
      </c>
      <c r="R7" s="4"/>
      <c r="S7" s="4"/>
      <c r="T7" s="4">
        <v>5</v>
      </c>
      <c r="U7" s="4"/>
      <c r="V7" s="4"/>
      <c r="W7" s="4">
        <v>3</v>
      </c>
      <c r="X7" s="4"/>
      <c r="Y7" s="4"/>
      <c r="Z7" s="4">
        <v>0</v>
      </c>
      <c r="AA7" s="4"/>
      <c r="AB7" s="4"/>
      <c r="AC7" s="4">
        <f>SUM(Q7:AB7)</f>
        <v>28</v>
      </c>
      <c r="AD7" s="4"/>
      <c r="AE7" s="4"/>
      <c r="AR7" s="57">
        <v>266</v>
      </c>
      <c r="AS7" s="55">
        <f>BQ18</f>
        <v>150</v>
      </c>
      <c r="AT7" s="50">
        <f>BT11</f>
        <v>2034</v>
      </c>
      <c r="AU7" s="50">
        <f>BR18</f>
        <v>296</v>
      </c>
      <c r="AV7" s="50">
        <f>AT7</f>
        <v>2034</v>
      </c>
      <c r="AW7" s="50"/>
      <c r="AX7" s="50"/>
      <c r="AY7" s="50"/>
      <c r="AZ7" s="50"/>
      <c r="BA7" s="58"/>
      <c r="BB7" s="59"/>
      <c r="BC7" s="55">
        <v>1</v>
      </c>
      <c r="BD7" s="50">
        <v>1</v>
      </c>
      <c r="BE7" s="50">
        <v>0</v>
      </c>
      <c r="BF7" s="29"/>
      <c r="BG7" s="55">
        <v>100</v>
      </c>
      <c r="BH7" s="5" t="s">
        <v>43</v>
      </c>
      <c r="BI7" s="29" t="s">
        <v>38</v>
      </c>
      <c r="BJ7" s="44">
        <v>0</v>
      </c>
    </row>
    <row r="8" spans="1:75">
      <c r="A8" s="26"/>
      <c r="B8" s="27" t="s">
        <v>44</v>
      </c>
      <c r="C8" s="28" t="s">
        <v>45</v>
      </c>
      <c r="D8" s="29"/>
      <c r="E8" s="30" t="s">
        <v>41</v>
      </c>
      <c r="F8" s="4"/>
      <c r="G8" s="31"/>
      <c r="H8"/>
      <c r="I8"/>
      <c r="J8" s="18"/>
      <c r="K8" s="4" t="s">
        <v>46</v>
      </c>
      <c r="L8" s="5" t="s">
        <v>47</v>
      </c>
      <c r="M8" s="5" t="str">
        <f>"전체높이-"&amp;Q16</f>
        <v>전체높이-30</v>
      </c>
      <c r="AR8" s="32">
        <v>230</v>
      </c>
      <c r="AS8" s="49">
        <f>BQ12</f>
        <v>240</v>
      </c>
      <c r="AT8" s="52">
        <f>BT11</f>
        <v>2034</v>
      </c>
      <c r="AU8" s="52">
        <f>BR12</f>
        <v>680</v>
      </c>
      <c r="AV8" s="52">
        <f>BT13</f>
        <v>420</v>
      </c>
      <c r="AW8" s="52">
        <f>BQ11</f>
        <v>922</v>
      </c>
      <c r="AX8" s="52">
        <f>BT11</f>
        <v>2034</v>
      </c>
      <c r="AY8" s="5"/>
      <c r="AZ8" s="5"/>
      <c r="BA8" s="53"/>
      <c r="BB8" s="54"/>
      <c r="BC8" s="55">
        <v>0</v>
      </c>
      <c r="BD8" s="50">
        <v>0</v>
      </c>
      <c r="BE8" s="50">
        <v>0</v>
      </c>
      <c r="BF8" s="29"/>
      <c r="BG8" s="55"/>
      <c r="BH8" s="5" t="s">
        <v>48</v>
      </c>
      <c r="BI8" s="29" t="s">
        <v>38</v>
      </c>
      <c r="BJ8" s="44">
        <v>0</v>
      </c>
    </row>
    <row r="9" spans="1:75" ht="17.25" thickBot="1">
      <c r="A9" s="60"/>
      <c r="B9" s="61" t="s">
        <v>49</v>
      </c>
      <c r="C9" s="62" t="s">
        <v>50</v>
      </c>
      <c r="D9" s="63"/>
      <c r="E9" s="64" t="str">
        <f>IF(C9="예","개폐용 ㄷ바"&amp;M31&amp;" , "&amp;"판넬"&amp;M32&amp;" * "&amp;N32,"")</f>
        <v/>
      </c>
      <c r="F9" s="65"/>
      <c r="G9" s="66"/>
      <c r="H9"/>
      <c r="I9"/>
      <c r="J9" s="18"/>
      <c r="K9" s="4"/>
      <c r="L9" s="5"/>
      <c r="M9" s="5"/>
      <c r="AR9" s="32"/>
      <c r="AS9" s="49"/>
      <c r="AT9" s="52"/>
      <c r="AU9" s="52"/>
      <c r="AV9" s="52"/>
      <c r="AW9" s="52"/>
      <c r="AX9" s="52"/>
      <c r="AY9" s="5"/>
      <c r="AZ9" s="5"/>
      <c r="BA9" s="53"/>
      <c r="BB9" s="54"/>
      <c r="BC9" s="55"/>
      <c r="BD9" s="50"/>
      <c r="BE9" s="50"/>
      <c r="BF9" s="29"/>
      <c r="BG9" s="55"/>
      <c r="BH9" s="5"/>
      <c r="BI9" s="29"/>
      <c r="BJ9" s="44">
        <v>0</v>
      </c>
    </row>
    <row r="10" spans="1:75" ht="18" thickBot="1">
      <c r="A10" s="67"/>
      <c r="B10" s="68" t="s">
        <v>42</v>
      </c>
      <c r="C10" s="69">
        <v>960</v>
      </c>
      <c r="D10" s="70">
        <f>C5-AI3+2-C6</f>
        <v>2041</v>
      </c>
      <c r="E10" s="71">
        <f>IF(C7="없음",C4-130,960)</f>
        <v>960</v>
      </c>
      <c r="F10" s="72" t="s">
        <v>51</v>
      </c>
      <c r="G10" s="73" t="s">
        <v>52</v>
      </c>
      <c r="H10" s="74" t="str">
        <f>IF(C10=960,"","확인")</f>
        <v/>
      </c>
      <c r="I10"/>
      <c r="J10" s="18"/>
      <c r="K10" s="4"/>
      <c r="L10" s="4" t="s">
        <v>53</v>
      </c>
      <c r="M10" s="4" t="str">
        <f>"전체높이-"&amp;T16+T16</f>
        <v>전체높이-90</v>
      </c>
      <c r="Q10" s="4" t="s">
        <v>54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5"/>
      <c r="AR10" s="32">
        <v>231</v>
      </c>
      <c r="AS10" s="49">
        <f>BQ11</f>
        <v>922</v>
      </c>
      <c r="AT10" s="52">
        <f>AT4</f>
        <v>402</v>
      </c>
      <c r="AU10" s="50">
        <f>BQ11</f>
        <v>922</v>
      </c>
      <c r="AV10" s="52">
        <f>AV4</f>
        <v>420</v>
      </c>
      <c r="AW10" s="51"/>
      <c r="AX10" s="51"/>
      <c r="AY10" s="5"/>
      <c r="AZ10" s="5"/>
      <c r="BA10" s="53">
        <f>BQ11</f>
        <v>922</v>
      </c>
      <c r="BB10" s="54">
        <f>BB5</f>
        <v>2034</v>
      </c>
      <c r="BC10" s="55">
        <v>0</v>
      </c>
      <c r="BD10" s="50">
        <v>0</v>
      </c>
      <c r="BE10" s="50">
        <v>0</v>
      </c>
      <c r="BF10" s="29"/>
      <c r="BG10" s="55"/>
      <c r="BH10" s="5" t="s">
        <v>48</v>
      </c>
      <c r="BI10" s="29" t="str">
        <f>"키높이"&amp;ROUND(AT10*2+130,-1)&amp;"~"&amp;ROUND((AT10*3)-270,-1)</f>
        <v>키높이930~940</v>
      </c>
      <c r="BJ10" s="44">
        <v>1</v>
      </c>
      <c r="BK10" s="3">
        <f>BK5</f>
        <v>960</v>
      </c>
      <c r="BL10" s="3">
        <f>BL5</f>
        <v>940</v>
      </c>
      <c r="BM10" s="3">
        <f>BM5</f>
        <v>960</v>
      </c>
      <c r="BN10" s="3">
        <f>BN5</f>
        <v>920</v>
      </c>
      <c r="BP10" s="75" t="s">
        <v>55</v>
      </c>
      <c r="BQ10" s="76" t="s">
        <v>56</v>
      </c>
      <c r="BR10" s="76"/>
      <c r="BS10" s="77"/>
      <c r="BT10" s="76" t="s">
        <v>57</v>
      </c>
      <c r="BU10" s="76"/>
      <c r="BV10" s="78"/>
    </row>
    <row r="11" spans="1:75" ht="17.25" thickBot="1">
      <c r="A11" s="18"/>
      <c r="C11" s="3" t="s">
        <v>58</v>
      </c>
      <c r="E11" s="79"/>
      <c r="F11" s="10"/>
      <c r="G11" s="10"/>
      <c r="H11" s="10"/>
      <c r="I11" s="10"/>
      <c r="J11" s="80"/>
      <c r="K11" s="4"/>
      <c r="L11" s="4"/>
      <c r="M11" s="4"/>
      <c r="Q11" s="4" t="s">
        <v>5</v>
      </c>
      <c r="R11" s="4"/>
      <c r="S11" s="4"/>
      <c r="T11" s="4" t="s">
        <v>6</v>
      </c>
      <c r="U11" s="4"/>
      <c r="V11" s="4"/>
      <c r="W11" s="4" t="s">
        <v>7</v>
      </c>
      <c r="X11" s="4"/>
      <c r="Y11" s="4"/>
      <c r="Z11" s="4" t="s">
        <v>10</v>
      </c>
      <c r="AA11" s="4"/>
      <c r="AB11" s="4"/>
      <c r="AC11" s="4" t="s">
        <v>9</v>
      </c>
      <c r="AD11" s="4"/>
      <c r="AE11" s="4"/>
      <c r="AF11" s="4" t="s">
        <v>11</v>
      </c>
      <c r="AG11" s="4"/>
      <c r="AH11" s="4"/>
      <c r="AR11" s="32">
        <v>232</v>
      </c>
      <c r="AS11" s="49">
        <f>BQ11</f>
        <v>922</v>
      </c>
      <c r="AT11" s="52">
        <f>AT4</f>
        <v>402</v>
      </c>
      <c r="AU11" s="52">
        <f>BQ11</f>
        <v>922</v>
      </c>
      <c r="AV11" s="52">
        <f>AV4</f>
        <v>420</v>
      </c>
      <c r="AW11" s="51"/>
      <c r="AX11" s="51"/>
      <c r="AY11" s="5"/>
      <c r="AZ11" s="5"/>
      <c r="BA11" s="53">
        <f>BA10</f>
        <v>922</v>
      </c>
      <c r="BB11" s="54">
        <f>BB10</f>
        <v>2034</v>
      </c>
      <c r="BC11" s="55">
        <v>0</v>
      </c>
      <c r="BD11" s="50">
        <v>0</v>
      </c>
      <c r="BE11" s="50">
        <v>0</v>
      </c>
      <c r="BF11" s="29"/>
      <c r="BG11" s="55"/>
      <c r="BH11" s="5" t="s">
        <v>48</v>
      </c>
      <c r="BI11" s="29" t="str">
        <f>"키높이"&amp;ROUND(AT11*2+130,-1)&amp;"~"&amp;ROUND((AT11*3)-270,-1)</f>
        <v>키높이930~940</v>
      </c>
      <c r="BJ11" s="44">
        <v>1</v>
      </c>
      <c r="BK11" s="3">
        <f>BK10</f>
        <v>960</v>
      </c>
      <c r="BL11" s="3">
        <f>BL10</f>
        <v>940</v>
      </c>
      <c r="BM11" s="3">
        <f>BM10</f>
        <v>960</v>
      </c>
      <c r="BN11" s="3">
        <f>BN10</f>
        <v>920</v>
      </c>
      <c r="BP11" s="81"/>
      <c r="BQ11" s="82">
        <f>D21-3</f>
        <v>922</v>
      </c>
      <c r="BR11" s="83"/>
      <c r="BS11" s="43"/>
      <c r="BT11" s="82">
        <f>C5-AI3-5</f>
        <v>2034</v>
      </c>
      <c r="BU11" s="42"/>
      <c r="BV11" s="40"/>
    </row>
    <row r="12" spans="1:75">
      <c r="A12" s="21" t="s">
        <v>42</v>
      </c>
      <c r="B12" s="84" t="str">
        <f>L7&amp;" * "&amp;M7</f>
        <v>960 * 2039</v>
      </c>
      <c r="C12" s="85"/>
      <c r="D12" s="86" t="s">
        <v>14</v>
      </c>
      <c r="E12" s="87"/>
      <c r="F12" s="87"/>
      <c r="G12" s="88"/>
      <c r="K12" s="4"/>
      <c r="L12" s="5" t="s">
        <v>9</v>
      </c>
      <c r="M12" s="5" t="s">
        <v>59</v>
      </c>
      <c r="Q12" s="4">
        <v>57</v>
      </c>
      <c r="R12" s="4"/>
      <c r="S12" s="4"/>
      <c r="T12" s="4">
        <v>0</v>
      </c>
      <c r="U12" s="4"/>
      <c r="V12" s="4"/>
      <c r="W12" s="4">
        <v>105</v>
      </c>
      <c r="X12" s="4"/>
      <c r="Y12" s="4"/>
      <c r="Z12" s="4">
        <f>C6</f>
        <v>0</v>
      </c>
      <c r="AA12" s="4"/>
      <c r="AB12" s="4"/>
      <c r="AC12" s="4">
        <f>Q16</f>
        <v>30</v>
      </c>
      <c r="AD12" s="4"/>
      <c r="AE12" s="4"/>
      <c r="AF12" s="4">
        <f>SUM(Q12:AE12)</f>
        <v>192</v>
      </c>
      <c r="AG12" s="4"/>
      <c r="AH12" s="4"/>
      <c r="AR12" s="32">
        <v>256</v>
      </c>
      <c r="AS12" s="49">
        <f>BQ19</f>
        <v>100</v>
      </c>
      <c r="AT12" s="52">
        <f>BT11</f>
        <v>2034</v>
      </c>
      <c r="AU12" s="52">
        <f>BR19</f>
        <v>307</v>
      </c>
      <c r="AV12" s="52">
        <f>BT11</f>
        <v>2034</v>
      </c>
      <c r="AW12" s="52">
        <f>BQ11</f>
        <v>922</v>
      </c>
      <c r="AX12" s="52">
        <f>BT11</f>
        <v>2034</v>
      </c>
      <c r="AY12" s="5"/>
      <c r="AZ12" s="5"/>
      <c r="BA12" s="53"/>
      <c r="BB12" s="54"/>
      <c r="BC12" s="55">
        <v>0</v>
      </c>
      <c r="BD12" s="50">
        <v>1</v>
      </c>
      <c r="BE12" s="50">
        <v>0</v>
      </c>
      <c r="BF12" s="29"/>
      <c r="BG12" s="55"/>
      <c r="BH12" s="5" t="s">
        <v>60</v>
      </c>
      <c r="BI12" s="29" t="s">
        <v>38</v>
      </c>
      <c r="BJ12" s="44">
        <v>0</v>
      </c>
      <c r="BP12" s="44"/>
      <c r="BQ12" s="89">
        <v>240</v>
      </c>
      <c r="BR12" s="90">
        <f>BQ11-BQ12-2</f>
        <v>680</v>
      </c>
      <c r="BS12" s="29"/>
      <c r="BT12" s="89">
        <v>1600</v>
      </c>
      <c r="BU12" s="5">
        <f>BT11-BT12-2</f>
        <v>432</v>
      </c>
      <c r="BV12" s="91"/>
    </row>
    <row r="13" spans="1:75">
      <c r="A13" s="44" t="s">
        <v>16</v>
      </c>
      <c r="B13" s="27" t="str">
        <f ca="1">IF(OFFSET(AR3,MATCH(C3,AR4:AR102,0),11,1,1)=1,OFFSET(AR3,MATCH(C3,AR4:AR102,0),15,1,1)," ")</f>
        <v xml:space="preserve"> </v>
      </c>
      <c r="C13" s="29" t="str">
        <f ca="1">IF(OFFSET(AR3,MATCH(C3,AR4:AR103,0),11,1,1)=1,M28+20," ")</f>
        <v xml:space="preserve"> </v>
      </c>
      <c r="D13" s="30"/>
      <c r="E13" s="4"/>
      <c r="F13" s="4"/>
      <c r="G13" s="31"/>
      <c r="K13" s="4"/>
      <c r="L13" s="5" t="s">
        <v>61</v>
      </c>
      <c r="M13" s="4" t="str">
        <f>"전체높이-"&amp;AF12</f>
        <v>전체높이-192</v>
      </c>
      <c r="Q13" s="4" t="s">
        <v>62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5"/>
      <c r="AR13" s="32">
        <v>241</v>
      </c>
      <c r="AS13" s="49">
        <f>BQ14</f>
        <v>346</v>
      </c>
      <c r="AT13" s="52">
        <f>BT11</f>
        <v>2034</v>
      </c>
      <c r="AU13" s="50"/>
      <c r="AV13" s="52"/>
      <c r="AW13" s="52"/>
      <c r="AX13" s="52"/>
      <c r="AY13" s="50"/>
      <c r="AZ13" s="52"/>
      <c r="BA13" s="53"/>
      <c r="BB13" s="54"/>
      <c r="BC13" s="55">
        <v>1</v>
      </c>
      <c r="BD13" s="50">
        <v>1</v>
      </c>
      <c r="BE13" s="50">
        <v>1</v>
      </c>
      <c r="BF13" s="29">
        <v>1</v>
      </c>
      <c r="BG13" s="55">
        <v>240</v>
      </c>
      <c r="BH13" s="5" t="s">
        <v>48</v>
      </c>
      <c r="BI13" s="29" t="s">
        <v>38</v>
      </c>
      <c r="BJ13" s="44">
        <v>0</v>
      </c>
      <c r="BP13" s="44"/>
      <c r="BQ13" s="89">
        <f>BQ11</f>
        <v>922</v>
      </c>
      <c r="BR13" s="90"/>
      <c r="BS13" s="29"/>
      <c r="BT13" s="89">
        <f>IF(ROUND((BT11-6)/5,0)&lt;420.01,420,ROUND((BT11-6)/5,0))</f>
        <v>420</v>
      </c>
      <c r="BU13" s="5">
        <f>IF(ROUND((BT11-6)/5,0)&lt;420.01,ROUND((BT11-6-BT13)/4,0),BT13)</f>
        <v>402</v>
      </c>
      <c r="BV13" s="29" t="s">
        <v>63</v>
      </c>
    </row>
    <row r="14" spans="1:75">
      <c r="A14" s="92" t="s">
        <v>64</v>
      </c>
      <c r="B14" s="93" t="str">
        <f ca="1">IF(OFFSET(AR3,MATCH(C3,AR4:AR105,0),13,1,1)=1,B13-20," ")</f>
        <v xml:space="preserve"> </v>
      </c>
      <c r="C14" s="94" t="str">
        <f ca="1">IF(OFFSET(AR3,MATCH(C3,AR4:AR103,0),13,1,1)=1,M28," ")</f>
        <v xml:space="preserve"> </v>
      </c>
      <c r="D14" s="95" t="str">
        <f ca="1">IF(OFFSET(AR3,MATCH(C3,AR4:AR105,0),13,1,1)=1,"단조주문확인"," ")</f>
        <v xml:space="preserve"> </v>
      </c>
      <c r="E14" s="96"/>
      <c r="F14" s="96"/>
      <c r="G14" s="97"/>
      <c r="H14"/>
      <c r="I14"/>
      <c r="J14" s="18"/>
      <c r="K14" s="4"/>
      <c r="L14" s="5" t="s">
        <v>65</v>
      </c>
      <c r="M14" s="4"/>
      <c r="AR14" s="32">
        <v>248</v>
      </c>
      <c r="AS14" s="49">
        <f>BQ11</f>
        <v>922</v>
      </c>
      <c r="AT14" s="52">
        <f>BT11</f>
        <v>2034</v>
      </c>
      <c r="AU14" s="52"/>
      <c r="AV14" s="52"/>
      <c r="AW14" s="52"/>
      <c r="AX14" s="52"/>
      <c r="AY14" s="52"/>
      <c r="AZ14" s="52"/>
      <c r="BA14" s="53"/>
      <c r="BB14" s="54"/>
      <c r="BC14" s="55">
        <v>0</v>
      </c>
      <c r="BD14" s="50">
        <v>1</v>
      </c>
      <c r="BE14" s="50">
        <v>0</v>
      </c>
      <c r="BF14" s="29"/>
      <c r="BG14" s="55"/>
      <c r="BH14" s="5" t="s">
        <v>66</v>
      </c>
      <c r="BI14" s="29" t="s">
        <v>38</v>
      </c>
      <c r="BJ14" s="44">
        <v>0</v>
      </c>
      <c r="BP14" s="98">
        <v>240</v>
      </c>
      <c r="BQ14" s="89">
        <f>ROUND((BQ11-(BP14-15)-6)/2,0)</f>
        <v>346</v>
      </c>
      <c r="BR14" s="90"/>
      <c r="BS14" s="29"/>
      <c r="BT14" s="89">
        <f>ROUND((BT11-5)/4,0)</f>
        <v>507</v>
      </c>
      <c r="BU14" s="5"/>
      <c r="BV14" s="29" t="s">
        <v>67</v>
      </c>
    </row>
    <row r="15" spans="1:75">
      <c r="A15" s="98" t="str">
        <f>IF(C9="아니요","소대판사이즈","소대개폐문")</f>
        <v>소대판사이즈</v>
      </c>
      <c r="B15" s="27">
        <f>IF(C9="예",M30,IF(C7="없음","",N20))</f>
        <v>158</v>
      </c>
      <c r="C15" s="29">
        <f>IF(C9="예",N30,IF(C7="없음","",C5-AF12))</f>
        <v>2008</v>
      </c>
      <c r="D15" s="99" t="str">
        <f>IF(B15&lt;80,"소대불가,문크기 조절","")</f>
        <v/>
      </c>
      <c r="E15" s="100"/>
      <c r="F15" s="101" t="str">
        <f>"소대후면사이즈 "&amp;B15+87</f>
        <v>소대후면사이즈 245</v>
      </c>
      <c r="G15" s="102"/>
      <c r="H15" s="103"/>
      <c r="I15" s="103"/>
      <c r="J15" s="104"/>
      <c r="K15" s="4"/>
      <c r="L15" s="5" t="s">
        <v>68</v>
      </c>
      <c r="M15" s="4"/>
      <c r="Q15" s="4" t="s">
        <v>69</v>
      </c>
      <c r="R15" s="4"/>
      <c r="S15" s="4"/>
      <c r="T15" s="4" t="s">
        <v>70</v>
      </c>
      <c r="U15" s="4"/>
      <c r="V15" s="4"/>
      <c r="W15" s="4" t="s">
        <v>71</v>
      </c>
      <c r="X15" s="4"/>
      <c r="Y15" s="4"/>
      <c r="Z15" s="4" t="s">
        <v>72</v>
      </c>
      <c r="AA15" s="4"/>
      <c r="AB15" s="4"/>
      <c r="AR15" s="32">
        <v>214</v>
      </c>
      <c r="AS15" s="49">
        <f>BQ20</f>
        <v>240</v>
      </c>
      <c r="AT15" s="52">
        <f>BT11</f>
        <v>2034</v>
      </c>
      <c r="AU15" s="50">
        <f>BR20</f>
        <v>438</v>
      </c>
      <c r="AV15" s="52">
        <f>BT20</f>
        <v>200</v>
      </c>
      <c r="AW15" s="52">
        <f>BR20</f>
        <v>438</v>
      </c>
      <c r="AX15" s="52">
        <f>BU20</f>
        <v>406</v>
      </c>
      <c r="AY15" s="50">
        <f>BQ11</f>
        <v>922</v>
      </c>
      <c r="AZ15" s="52">
        <f>BT11</f>
        <v>2034</v>
      </c>
      <c r="BA15" s="53"/>
      <c r="BB15" s="54"/>
      <c r="BC15" s="55">
        <v>0</v>
      </c>
      <c r="BD15" s="50">
        <v>0</v>
      </c>
      <c r="BE15" s="50">
        <v>0</v>
      </c>
      <c r="BF15" s="29"/>
      <c r="BG15" s="55"/>
      <c r="BH15" s="5" t="s">
        <v>73</v>
      </c>
      <c r="BI15" s="29" t="s">
        <v>38</v>
      </c>
      <c r="BJ15" s="44">
        <v>0</v>
      </c>
      <c r="BP15" s="98">
        <v>100</v>
      </c>
      <c r="BQ15" s="89">
        <f>ROUND((BQ11-BP15+15-6)/2,0)</f>
        <v>416</v>
      </c>
      <c r="BR15" s="90"/>
      <c r="BS15" s="29"/>
      <c r="BT15" s="89">
        <f>ROUND((BT11-6)/5,0)</f>
        <v>406</v>
      </c>
      <c r="BU15" s="5"/>
      <c r="BV15" s="29" t="s">
        <v>63</v>
      </c>
    </row>
    <row r="16" spans="1:75">
      <c r="A16" s="44" t="s">
        <v>17</v>
      </c>
      <c r="B16" s="27" t="str">
        <f ca="1">IF(C9="예","",IF(C7="없음","",IF(OFFSET(AR3,MATCH(C3,AR4:AR108,0),12,1,1)=1,O20,"")))</f>
        <v/>
      </c>
      <c r="C16" s="29" t="str">
        <f ca="1">IF(C9="예","",IF(C7="없음","",IF(OFFSET(AR3,MATCH(C3,AR4:AR110,0),12,1,1)=1,M27,"0")))</f>
        <v>0</v>
      </c>
      <c r="D16" s="95" t="str">
        <f ca="1">IF(B16=0,"",IF(B16&lt;70,"N.G 소대가 작음,문크기조절필요",""))</f>
        <v/>
      </c>
      <c r="E16" s="96"/>
      <c r="F16" s="96"/>
      <c r="G16" s="97"/>
      <c r="H16" s="103"/>
      <c r="I16" s="103"/>
      <c r="J16" s="104"/>
      <c r="K16" s="4"/>
      <c r="L16" s="5" t="s">
        <v>74</v>
      </c>
      <c r="M16" s="4"/>
      <c r="Q16" s="4">
        <v>30</v>
      </c>
      <c r="R16" s="4"/>
      <c r="S16" s="4"/>
      <c r="T16" s="4">
        <v>45</v>
      </c>
      <c r="U16" s="4"/>
      <c r="V16" s="4"/>
      <c r="W16" s="4">
        <v>40</v>
      </c>
      <c r="X16" s="4"/>
      <c r="Y16" s="4"/>
      <c r="Z16" s="4">
        <v>70</v>
      </c>
      <c r="AA16" s="4"/>
      <c r="AB16" s="4"/>
      <c r="AR16" s="32">
        <v>210</v>
      </c>
      <c r="AS16" s="49">
        <f>BQ21</f>
        <v>922</v>
      </c>
      <c r="AT16" s="52">
        <f>BT21</f>
        <v>250</v>
      </c>
      <c r="AU16" s="52">
        <f>BQ21</f>
        <v>922</v>
      </c>
      <c r="AV16" s="52">
        <f>BU21</f>
        <v>1278</v>
      </c>
      <c r="AW16" s="52">
        <f>BQ21</f>
        <v>922</v>
      </c>
      <c r="AX16" s="52">
        <f>BT11</f>
        <v>2034</v>
      </c>
      <c r="AY16" s="5"/>
      <c r="AZ16" s="5"/>
      <c r="BA16" s="53"/>
      <c r="BB16" s="54"/>
      <c r="BC16" s="55">
        <v>0</v>
      </c>
      <c r="BD16" s="50">
        <v>0</v>
      </c>
      <c r="BE16" s="50">
        <v>0</v>
      </c>
      <c r="BF16" s="29"/>
      <c r="BG16" s="55"/>
      <c r="BH16" s="5" t="s">
        <v>73</v>
      </c>
      <c r="BI16" s="29" t="s">
        <v>38</v>
      </c>
      <c r="BJ16" s="44">
        <v>0</v>
      </c>
      <c r="BP16" s="98">
        <v>100</v>
      </c>
      <c r="BQ16" s="89">
        <v>120</v>
      </c>
      <c r="BR16" s="5">
        <f>ROUND((BQ11-BQ16-BQ16-BP16-BP16-BP16+45-16)/2,0)</f>
        <v>206</v>
      </c>
      <c r="BS16" s="29"/>
      <c r="BT16" s="89"/>
      <c r="BU16" s="5"/>
      <c r="BV16" s="91"/>
    </row>
    <row r="17" spans="1:74" ht="17.25" thickBot="1">
      <c r="A17" s="105" t="s">
        <v>19</v>
      </c>
      <c r="B17" s="68" t="str">
        <f ca="1">IF(C7="없음","",IF(OFFSET(AR3,MATCH(C3,AR4:AR110,0),14,1,1)=1,B16-20,""))</f>
        <v/>
      </c>
      <c r="C17" s="70" t="str">
        <f ca="1">IF(C7="없음","",IF(OFFSET(AR3,MATCH(C3,AR4:AR110,0),14,1,1)=1,C16-20,"0"))</f>
        <v>0</v>
      </c>
      <c r="D17" s="106" t="str">
        <f ca="1">IF(B17&lt;70,"소대단조 제작불가","")</f>
        <v/>
      </c>
      <c r="E17" s="107"/>
      <c r="F17" s="107"/>
      <c r="G17" s="108"/>
      <c r="H17"/>
      <c r="I17"/>
      <c r="J17" s="18"/>
      <c r="K17" s="109"/>
      <c r="L17" s="5" t="s">
        <v>75</v>
      </c>
      <c r="M17" s="5" t="str">
        <f>"전체높이-"&amp;AF12-42</f>
        <v>전체높이-150</v>
      </c>
      <c r="AR17" s="32">
        <v>243</v>
      </c>
      <c r="AS17" s="49">
        <f>BQ12</f>
        <v>240</v>
      </c>
      <c r="AT17" s="52">
        <f>BT12</f>
        <v>1600</v>
      </c>
      <c r="AU17" s="50">
        <f>BR12</f>
        <v>680</v>
      </c>
      <c r="AV17" s="52">
        <f>BT12</f>
        <v>1600</v>
      </c>
      <c r="AW17" s="52">
        <f>BQ12</f>
        <v>240</v>
      </c>
      <c r="AX17" s="52">
        <f>BU12</f>
        <v>432</v>
      </c>
      <c r="AY17" s="50">
        <f>BR12</f>
        <v>680</v>
      </c>
      <c r="AZ17" s="52">
        <f>BU12</f>
        <v>432</v>
      </c>
      <c r="BA17" s="53">
        <f>BQ11</f>
        <v>922</v>
      </c>
      <c r="BB17" s="54">
        <f>BT11</f>
        <v>2034</v>
      </c>
      <c r="BC17" s="55">
        <v>0</v>
      </c>
      <c r="BD17" s="50">
        <v>0</v>
      </c>
      <c r="BE17" s="50">
        <v>0</v>
      </c>
      <c r="BF17" s="29"/>
      <c r="BG17" s="55"/>
      <c r="BH17" s="5" t="s">
        <v>76</v>
      </c>
      <c r="BI17" s="29" t="s">
        <v>38</v>
      </c>
      <c r="BJ17" s="44">
        <v>0</v>
      </c>
      <c r="BP17" s="44">
        <v>100</v>
      </c>
      <c r="BQ17" s="27">
        <v>240</v>
      </c>
      <c r="BR17" s="5">
        <f>(BQ11-BQ17-BP17+15-5)</f>
        <v>592</v>
      </c>
      <c r="BS17" s="29"/>
      <c r="BT17" s="27">
        <v>1600</v>
      </c>
      <c r="BU17" s="5">
        <f>BT11-BT17-2</f>
        <v>432</v>
      </c>
      <c r="BV17" s="29"/>
    </row>
    <row r="18" spans="1:74" ht="17.25" thickBot="1">
      <c r="D18" s="110"/>
      <c r="E18" s="110"/>
      <c r="F18" s="110"/>
      <c r="G18" s="110"/>
      <c r="AR18" s="98">
        <v>244</v>
      </c>
      <c r="AS18" s="111">
        <f>BQ28</f>
        <v>922</v>
      </c>
      <c r="AT18" s="112">
        <f>BT28</f>
        <v>450</v>
      </c>
      <c r="AU18" s="112">
        <f>AS18</f>
        <v>922</v>
      </c>
      <c r="AV18" s="112">
        <f>BU28</f>
        <v>790</v>
      </c>
      <c r="AW18" s="90"/>
      <c r="AX18" s="90"/>
      <c r="AY18" s="51"/>
      <c r="AZ18" s="51"/>
      <c r="BA18" s="53">
        <f>BQ11</f>
        <v>922</v>
      </c>
      <c r="BB18" s="54">
        <f>BB17</f>
        <v>2034</v>
      </c>
      <c r="BC18" s="27">
        <v>0</v>
      </c>
      <c r="BD18" s="5">
        <v>0</v>
      </c>
      <c r="BE18" s="5">
        <v>0</v>
      </c>
      <c r="BF18" s="29"/>
      <c r="BG18" s="27"/>
      <c r="BH18" s="5" t="s">
        <v>76</v>
      </c>
      <c r="BI18" s="29" t="str">
        <f>"키높이"&amp;ROUND(AV18+130,-1)&amp;"~"&amp;ROUND((AV18+AT18)-270,-1)</f>
        <v>키높이920~970</v>
      </c>
      <c r="BJ18" s="44">
        <v>1</v>
      </c>
      <c r="BP18" s="98">
        <v>100</v>
      </c>
      <c r="BQ18" s="89">
        <v>150</v>
      </c>
      <c r="BR18" s="5">
        <f>ROUND((BQ11-BQ18-5-BP18-BP18+30-5)/2,0)</f>
        <v>296</v>
      </c>
      <c r="BS18" s="29"/>
      <c r="BT18" s="27"/>
      <c r="BU18" s="5"/>
      <c r="BV18" s="29"/>
    </row>
    <row r="19" spans="1:74" ht="17.25" thickBot="1">
      <c r="A19" s="113" t="s">
        <v>77</v>
      </c>
      <c r="B19" s="114" t="s">
        <v>78</v>
      </c>
      <c r="C19" s="110"/>
      <c r="D19" s="110"/>
      <c r="E19" s="110"/>
      <c r="F19" s="110"/>
      <c r="G19" s="115" t="s">
        <v>79</v>
      </c>
      <c r="H19" s="116"/>
      <c r="K19" s="3" t="s">
        <v>80</v>
      </c>
      <c r="L19" s="3" t="s">
        <v>81</v>
      </c>
      <c r="M19" s="3" t="str">
        <f>"전체폭-"&amp;AI24</f>
        <v>전체폭-1082</v>
      </c>
      <c r="N19" s="117">
        <f>IF(C7=C8,M24,N24)</f>
        <v>158</v>
      </c>
      <c r="O19" s="117">
        <f>IF(C7=C8,M26,N26)</f>
        <v>57</v>
      </c>
      <c r="P19" s="117"/>
      <c r="Q19" s="10" t="s">
        <v>82</v>
      </c>
      <c r="R19" s="10"/>
      <c r="S19" s="80"/>
      <c r="T19" s="4" t="s">
        <v>83</v>
      </c>
      <c r="U19" s="4"/>
      <c r="V19" s="4"/>
      <c r="W19" s="4" t="s">
        <v>84</v>
      </c>
      <c r="X19" s="4"/>
      <c r="Y19" s="4"/>
      <c r="Z19" s="4" t="s">
        <v>70</v>
      </c>
      <c r="AA19" s="4"/>
      <c r="AB19" s="4"/>
      <c r="AC19" s="4" t="s">
        <v>85</v>
      </c>
      <c r="AD19" s="4"/>
      <c r="AE19" s="4"/>
      <c r="AF19" s="4"/>
      <c r="AG19" s="4"/>
      <c r="AH19" s="4"/>
      <c r="AI19" s="4" t="s">
        <v>11</v>
      </c>
      <c r="AJ19" s="4"/>
      <c r="AK19" s="4"/>
      <c r="AR19" s="32">
        <v>263</v>
      </c>
      <c r="AS19" s="49">
        <f>BQ17</f>
        <v>240</v>
      </c>
      <c r="AT19" s="52">
        <f>BT11</f>
        <v>2034</v>
      </c>
      <c r="AU19" s="50">
        <f>BR17</f>
        <v>592</v>
      </c>
      <c r="AV19" s="52">
        <f>BT11</f>
        <v>2034</v>
      </c>
      <c r="AW19" s="52"/>
      <c r="AX19" s="52"/>
      <c r="AY19" s="50"/>
      <c r="AZ19" s="52"/>
      <c r="BA19" s="53"/>
      <c r="BB19" s="54"/>
      <c r="BC19" s="55">
        <v>1</v>
      </c>
      <c r="BD19" s="50">
        <v>1</v>
      </c>
      <c r="BE19" s="50">
        <v>0</v>
      </c>
      <c r="BF19" s="29"/>
      <c r="BG19" s="55">
        <v>100</v>
      </c>
      <c r="BH19" s="5" t="s">
        <v>86</v>
      </c>
      <c r="BI19" s="29" t="s">
        <v>38</v>
      </c>
      <c r="BJ19" s="44">
        <v>0</v>
      </c>
      <c r="BP19" s="44"/>
      <c r="BQ19" s="27">
        <v>100</v>
      </c>
      <c r="BR19" s="5">
        <f>ROUND((BQ11-BQ19-BQ19-BQ19-8)/2,0)</f>
        <v>307</v>
      </c>
      <c r="BS19" s="29"/>
      <c r="BT19" s="27"/>
      <c r="BU19" s="5"/>
      <c r="BV19" s="29"/>
    </row>
    <row r="20" spans="1:74">
      <c r="A20" s="64"/>
      <c r="B20" s="56" t="s">
        <v>83</v>
      </c>
      <c r="C20" s="42" t="s">
        <v>7</v>
      </c>
      <c r="D20" s="42" t="s">
        <v>87</v>
      </c>
      <c r="E20" s="42" t="s">
        <v>88</v>
      </c>
      <c r="F20" s="118" t="s">
        <v>89</v>
      </c>
      <c r="G20" s="56" t="s">
        <v>78</v>
      </c>
      <c r="H20" s="43" t="s">
        <v>90</v>
      </c>
      <c r="K20" s="119" t="s">
        <v>91</v>
      </c>
      <c r="M20" s="3" t="str">
        <f>"전체폭-"&amp;AI20</f>
        <v>전체폭-1082</v>
      </c>
      <c r="N20" s="117">
        <f>IF(C7="양",O24,N19)</f>
        <v>158</v>
      </c>
      <c r="O20" s="117">
        <f>IF(C7="양",O26,O19)</f>
        <v>57</v>
      </c>
      <c r="P20" s="117"/>
      <c r="Q20" s="10"/>
      <c r="R20" s="10"/>
      <c r="S20" s="80"/>
      <c r="T20" s="4">
        <v>50</v>
      </c>
      <c r="U20" s="4"/>
      <c r="V20" s="4"/>
      <c r="W20" s="4">
        <f>L7-10</f>
        <v>950</v>
      </c>
      <c r="X20" s="4"/>
      <c r="Y20" s="4"/>
      <c r="Z20" s="4">
        <f>T16+T16</f>
        <v>90</v>
      </c>
      <c r="AA20" s="4"/>
      <c r="AB20" s="4"/>
      <c r="AC20" s="4">
        <v>8</v>
      </c>
      <c r="AD20" s="4"/>
      <c r="AE20" s="4"/>
      <c r="AF20" s="4"/>
      <c r="AG20" s="4"/>
      <c r="AH20" s="4"/>
      <c r="AI20" s="4">
        <f>SUM(T20:AB20)-8</f>
        <v>1082</v>
      </c>
      <c r="AJ20" s="4"/>
      <c r="AK20" s="4"/>
      <c r="AR20" s="32">
        <v>270</v>
      </c>
      <c r="AS20" s="49">
        <f>BQ12</f>
        <v>240</v>
      </c>
      <c r="AT20" s="52">
        <f>BT11</f>
        <v>2034</v>
      </c>
      <c r="AU20" s="52">
        <f>BR12</f>
        <v>680</v>
      </c>
      <c r="AV20" s="52">
        <f>BT11</f>
        <v>2034</v>
      </c>
      <c r="AW20" s="52"/>
      <c r="AX20" s="52"/>
      <c r="AY20" s="52"/>
      <c r="AZ20" s="52"/>
      <c r="BA20" s="53"/>
      <c r="BB20" s="54"/>
      <c r="BC20" s="55">
        <v>0</v>
      </c>
      <c r="BD20" s="50">
        <v>0</v>
      </c>
      <c r="BE20" s="50">
        <v>0</v>
      </c>
      <c r="BF20" s="29"/>
      <c r="BG20" s="55"/>
      <c r="BH20" s="5" t="s">
        <v>92</v>
      </c>
      <c r="BI20" s="29" t="s">
        <v>38</v>
      </c>
      <c r="BJ20" s="44">
        <v>0</v>
      </c>
      <c r="BP20" s="44"/>
      <c r="BQ20" s="89">
        <v>240</v>
      </c>
      <c r="BR20" s="90">
        <f>BQ11-BQ20-BQ20-4</f>
        <v>438</v>
      </c>
      <c r="BS20" s="29"/>
      <c r="BT20" s="27">
        <v>200</v>
      </c>
      <c r="BU20" s="5">
        <f>(BT11-BT20-BT20-10)/4</f>
        <v>406</v>
      </c>
      <c r="BV20" s="29"/>
    </row>
    <row r="21" spans="1:74" ht="17.25" thickBot="1">
      <c r="A21" s="120"/>
      <c r="B21" s="61">
        <f>C5-Q16</f>
        <v>2170</v>
      </c>
      <c r="C21" s="9">
        <f>C4-T16-T16</f>
        <v>1150</v>
      </c>
      <c r="D21" s="9">
        <f>L7-AC7-7</f>
        <v>925</v>
      </c>
      <c r="E21" s="9">
        <f>C5-AF12</f>
        <v>2008</v>
      </c>
      <c r="F21" s="121">
        <f>E21+42</f>
        <v>2050</v>
      </c>
      <c r="G21" s="68">
        <f>M7-2</f>
        <v>2037</v>
      </c>
      <c r="H21" s="70">
        <f>G21-60</f>
        <v>1977</v>
      </c>
      <c r="K21" s="3" t="s">
        <v>93</v>
      </c>
      <c r="M21" s="3" t="str">
        <f>"전체폭-"&amp;AI22&amp;"/2"</f>
        <v>전체폭-1085/2</v>
      </c>
      <c r="Q21" s="10" t="s">
        <v>94</v>
      </c>
      <c r="R21" s="10"/>
      <c r="S21" s="80"/>
      <c r="T21" s="4" t="s">
        <v>83</v>
      </c>
      <c r="U21" s="4"/>
      <c r="V21" s="4"/>
      <c r="W21" s="4" t="s">
        <v>84</v>
      </c>
      <c r="X21" s="4"/>
      <c r="Y21" s="4"/>
      <c r="Z21" s="4" t="s">
        <v>70</v>
      </c>
      <c r="AA21" s="4"/>
      <c r="AB21" s="4"/>
      <c r="AC21" s="4" t="s">
        <v>85</v>
      </c>
      <c r="AD21" s="4"/>
      <c r="AE21" s="4"/>
      <c r="AF21" s="4"/>
      <c r="AG21" s="4"/>
      <c r="AH21" s="4"/>
      <c r="AI21" s="4" t="s">
        <v>11</v>
      </c>
      <c r="AJ21" s="4"/>
      <c r="AK21" s="4"/>
      <c r="AR21" s="32">
        <v>271</v>
      </c>
      <c r="AS21" s="49">
        <f>BQ12</f>
        <v>240</v>
      </c>
      <c r="AT21" s="52">
        <f>BT11</f>
        <v>2034</v>
      </c>
      <c r="AU21" s="50">
        <f>BR12</f>
        <v>680</v>
      </c>
      <c r="AV21" s="52">
        <f>BT11</f>
        <v>2034</v>
      </c>
      <c r="AW21" s="52"/>
      <c r="AX21" s="52"/>
      <c r="AY21" s="50"/>
      <c r="AZ21" s="52"/>
      <c r="BA21" s="53"/>
      <c r="BB21" s="54"/>
      <c r="BC21" s="55">
        <v>0</v>
      </c>
      <c r="BD21" s="50">
        <v>0</v>
      </c>
      <c r="BE21" s="50">
        <v>0</v>
      </c>
      <c r="BF21" s="29"/>
      <c r="BG21" s="55"/>
      <c r="BH21" s="5" t="s">
        <v>92</v>
      </c>
      <c r="BI21" s="29" t="s">
        <v>38</v>
      </c>
      <c r="BJ21" s="44">
        <v>0</v>
      </c>
      <c r="BP21" s="44"/>
      <c r="BQ21" s="27">
        <f>BQ11</f>
        <v>922</v>
      </c>
      <c r="BR21" s="5"/>
      <c r="BS21" s="29"/>
      <c r="BT21" s="27">
        <v>250</v>
      </c>
      <c r="BU21" s="5">
        <f>BT11-BT21-BT21-BT21-6</f>
        <v>1278</v>
      </c>
      <c r="BV21" s="29"/>
    </row>
    <row r="22" spans="1:74" ht="17.25" thickBot="1">
      <c r="A22" s="122" t="s">
        <v>15</v>
      </c>
      <c r="B22" s="123">
        <f ca="1">OFFSET(AR3,MATCH(C3,AR4:AR104,0),1,1,1)</f>
        <v>240</v>
      </c>
      <c r="C22" s="124">
        <f ca="1">OFFSET(AR3,MATCH(C3,AR4:AR105,0),2,1,1)</f>
        <v>2034</v>
      </c>
      <c r="D22" s="115" t="str">
        <f ca="1">IF(OFFSET(AR3,MATCH(C3,AR4:AR104,0),18,1,1)=0,"","전자키높이")</f>
        <v/>
      </c>
      <c r="E22" s="116"/>
      <c r="Q22" s="10"/>
      <c r="R22" s="10"/>
      <c r="S22" s="80"/>
      <c r="T22" s="4">
        <v>50</v>
      </c>
      <c r="U22" s="4"/>
      <c r="V22" s="4"/>
      <c r="W22" s="4">
        <f>L7-65</f>
        <v>895</v>
      </c>
      <c r="X22" s="4"/>
      <c r="Y22" s="4"/>
      <c r="Z22" s="4">
        <f>T16+T16</f>
        <v>90</v>
      </c>
      <c r="AA22" s="4"/>
      <c r="AB22" s="4"/>
      <c r="AC22" s="4">
        <v>8</v>
      </c>
      <c r="AD22" s="4"/>
      <c r="AE22" s="4"/>
      <c r="AF22" s="4"/>
      <c r="AG22" s="4"/>
      <c r="AH22" s="4"/>
      <c r="AI22" s="4">
        <f>T22+T22+W22+Z22</f>
        <v>1085</v>
      </c>
      <c r="AJ22" s="4"/>
      <c r="AK22" s="4"/>
      <c r="AR22" s="32">
        <v>272</v>
      </c>
      <c r="AS22" s="49">
        <f>BQ22</f>
        <v>240</v>
      </c>
      <c r="AT22" s="52">
        <f>BT11</f>
        <v>2034</v>
      </c>
      <c r="AU22" s="52">
        <f>BS22</f>
        <v>100</v>
      </c>
      <c r="AV22" s="52">
        <f>BT11</f>
        <v>2034</v>
      </c>
      <c r="AW22" s="52">
        <f>BR22</f>
        <v>578</v>
      </c>
      <c r="AX22" s="52">
        <f>BT11</f>
        <v>2034</v>
      </c>
      <c r="AY22" s="52"/>
      <c r="AZ22" s="52"/>
      <c r="BA22" s="53"/>
      <c r="BB22" s="54"/>
      <c r="BC22" s="55">
        <v>0</v>
      </c>
      <c r="BD22" s="50">
        <v>0</v>
      </c>
      <c r="BE22" s="50">
        <v>0</v>
      </c>
      <c r="BF22" s="29"/>
      <c r="BG22" s="55"/>
      <c r="BH22" s="5" t="s">
        <v>92</v>
      </c>
      <c r="BI22" s="29" t="s">
        <v>38</v>
      </c>
      <c r="BJ22" s="44">
        <v>0</v>
      </c>
      <c r="BP22" s="44"/>
      <c r="BQ22" s="27">
        <v>240</v>
      </c>
      <c r="BR22" s="90">
        <f>BQ11-BQ22-BS22-4</f>
        <v>578</v>
      </c>
      <c r="BS22" s="29">
        <v>100</v>
      </c>
      <c r="BT22" s="27"/>
      <c r="BU22" s="5"/>
      <c r="BV22" s="29"/>
    </row>
    <row r="23" spans="1:74">
      <c r="A23" s="122"/>
      <c r="B23" s="125">
        <f ca="1">IF(OFFSET(AR3,MATCH(C3,AR4:AR104,0),3,1,1)&gt;0,OFFSET(AR3,MATCH(C3,AR4:AR103,0),3,1,1),"  ")</f>
        <v>680</v>
      </c>
      <c r="C23" s="126">
        <f ca="1">IF(OFFSET(AR3,MATCH(C3,AR4:AR104,0),4,1,1)&gt;0,OFFSET(AR3,MATCH(C3,AR4:AR103,0),4,1,1),"  ")</f>
        <v>677</v>
      </c>
      <c r="D23" s="127"/>
      <c r="E23" s="128"/>
      <c r="F23" s="129" t="s">
        <v>95</v>
      </c>
      <c r="G23" s="129"/>
      <c r="H23" s="116"/>
      <c r="K23" s="4" t="s">
        <v>81</v>
      </c>
      <c r="L23" s="5"/>
      <c r="M23" s="5" t="s">
        <v>96</v>
      </c>
      <c r="N23" s="5" t="s">
        <v>97</v>
      </c>
      <c r="O23" s="5" t="s">
        <v>98</v>
      </c>
      <c r="Q23" s="10" t="s">
        <v>99</v>
      </c>
      <c r="R23" s="10"/>
      <c r="S23" s="80"/>
      <c r="T23" s="4" t="s">
        <v>83</v>
      </c>
      <c r="U23" s="4"/>
      <c r="V23" s="4"/>
      <c r="W23" s="4" t="s">
        <v>84</v>
      </c>
      <c r="X23" s="4"/>
      <c r="Y23" s="4"/>
      <c r="Z23" s="4" t="s">
        <v>70</v>
      </c>
      <c r="AA23" s="4"/>
      <c r="AB23" s="4"/>
      <c r="AC23" s="4" t="s">
        <v>85</v>
      </c>
      <c r="AD23" s="4"/>
      <c r="AE23" s="4"/>
      <c r="AF23" s="4"/>
      <c r="AG23" s="4"/>
      <c r="AH23" s="4"/>
      <c r="AI23" s="4" t="s">
        <v>11</v>
      </c>
      <c r="AJ23" s="4"/>
      <c r="AK23" s="4"/>
      <c r="AR23" s="57">
        <v>264</v>
      </c>
      <c r="AS23" s="55">
        <f>BQ14</f>
        <v>346</v>
      </c>
      <c r="AT23" s="50">
        <f>BT11</f>
        <v>2034</v>
      </c>
      <c r="AU23" s="50"/>
      <c r="AV23" s="50"/>
      <c r="AW23" s="50"/>
      <c r="AX23" s="50"/>
      <c r="AY23" s="50"/>
      <c r="AZ23" s="50"/>
      <c r="BA23" s="58"/>
      <c r="BB23" s="59"/>
      <c r="BC23" s="55">
        <v>1</v>
      </c>
      <c r="BD23" s="50">
        <v>1</v>
      </c>
      <c r="BE23" s="50">
        <v>1</v>
      </c>
      <c r="BF23" s="29"/>
      <c r="BG23" s="55">
        <v>240</v>
      </c>
      <c r="BH23" s="5" t="s">
        <v>100</v>
      </c>
      <c r="BI23" s="29" t="s">
        <v>38</v>
      </c>
      <c r="BJ23" s="44">
        <v>0</v>
      </c>
      <c r="BP23" s="44"/>
      <c r="BQ23" s="27">
        <f>BQ11</f>
        <v>922</v>
      </c>
      <c r="BR23" s="5"/>
      <c r="BS23" s="29"/>
      <c r="BT23" s="27">
        <v>50</v>
      </c>
      <c r="BU23" s="5">
        <f>IF((BT11-BT23-BT23-6)/5&lt;420.01,420,(BT11-BT23-BT23-6)/5)</f>
        <v>420</v>
      </c>
      <c r="BV23" s="29">
        <f>IF((BT11-BT23-BT23-8)/5&lt;420.01,(BT11-BT23-BT23-BU23-8)/4,(BT11-BT23-BT23-8)/5)</f>
        <v>376.5</v>
      </c>
    </row>
    <row r="24" spans="1:74">
      <c r="A24" s="122"/>
      <c r="B24" s="125">
        <f ca="1">IF(OFFSET(AR3,MATCH(C3,AR4:AR104,0),5,1,1)&gt;0,OFFSET(AR3,MATCH(C3,AR4:AR103,0),5,1,1),"  ")</f>
        <v>922</v>
      </c>
      <c r="C24" s="126">
        <f ca="1">IF(OFFSET(AR3,MATCH(C3,AR4:AR104,0),6,1,1)&gt;0,OFFSET(AR3,MATCH(C3,AR4:AR103,0),6,1,1),"  ")</f>
        <v>2034</v>
      </c>
      <c r="D24" s="27" t="str">
        <f ca="1">IF(OFFSET(AR3,MATCH(C3,AR4:AR104,0),18,1,1)=0,"","MPS300")</f>
        <v/>
      </c>
      <c r="E24" s="29" t="str">
        <f ca="1">IF(OFFSET(AR3,MATCH(C3,AR4:AR104,0),18,1,1)=0,"",OFFSET(AR3,MATCH(C3,AR4:AR104,0),19,1,1))</f>
        <v/>
      </c>
      <c r="F24" s="109" t="s">
        <v>22</v>
      </c>
      <c r="G24" s="4"/>
      <c r="H24" s="29"/>
      <c r="K24" s="4"/>
      <c r="L24" s="5" t="s">
        <v>27</v>
      </c>
      <c r="M24" s="5">
        <f>C4-AI24</f>
        <v>158</v>
      </c>
      <c r="N24" s="5">
        <f>C4-AI20</f>
        <v>158</v>
      </c>
      <c r="O24" s="5">
        <f>ROUND((C4-AI22)/2,0)+8</f>
        <v>86</v>
      </c>
      <c r="Q24" s="10"/>
      <c r="R24" s="10"/>
      <c r="S24" s="80"/>
      <c r="T24" s="4">
        <v>50</v>
      </c>
      <c r="U24" s="4"/>
      <c r="V24" s="4"/>
      <c r="W24" s="4">
        <f>W20</f>
        <v>950</v>
      </c>
      <c r="X24" s="4"/>
      <c r="Y24" s="4"/>
      <c r="Z24" s="4">
        <f>T16+T16</f>
        <v>90</v>
      </c>
      <c r="AA24" s="4"/>
      <c r="AB24" s="4"/>
      <c r="AC24" s="4">
        <v>8</v>
      </c>
      <c r="AD24" s="4"/>
      <c r="AE24" s="4"/>
      <c r="AF24" s="4"/>
      <c r="AG24" s="4"/>
      <c r="AH24" s="4"/>
      <c r="AI24" s="4">
        <f>SUM(T24:AB24)-8</f>
        <v>1082</v>
      </c>
      <c r="AJ24" s="4"/>
      <c r="AK24" s="4"/>
      <c r="AR24" s="57">
        <v>252</v>
      </c>
      <c r="AS24" s="55">
        <f>BQ11</f>
        <v>922</v>
      </c>
      <c r="AT24" s="50">
        <f>BT11</f>
        <v>2034</v>
      </c>
      <c r="AU24" s="50"/>
      <c r="AV24" s="50" t="s">
        <v>101</v>
      </c>
      <c r="AW24" s="50">
        <v>200</v>
      </c>
      <c r="AX24" s="50">
        <v>1820</v>
      </c>
      <c r="AY24" s="50"/>
      <c r="AZ24" s="50"/>
      <c r="BA24" s="58"/>
      <c r="BB24" s="59"/>
      <c r="BC24" s="55">
        <v>0</v>
      </c>
      <c r="BD24" s="50">
        <v>1</v>
      </c>
      <c r="BE24" s="50">
        <v>0</v>
      </c>
      <c r="BF24" s="29"/>
      <c r="BG24" s="55"/>
      <c r="BH24" s="5" t="s">
        <v>102</v>
      </c>
      <c r="BI24" s="29" t="s">
        <v>38</v>
      </c>
      <c r="BJ24" s="44">
        <v>0</v>
      </c>
      <c r="BP24" s="44"/>
      <c r="BQ24" s="27">
        <f>BQ11</f>
        <v>922</v>
      </c>
      <c r="BR24" s="5"/>
      <c r="BS24" s="29"/>
      <c r="BT24" s="27">
        <v>30</v>
      </c>
      <c r="BU24" s="5">
        <f>IF((BT11-BT24*4-8)/5&lt;420.01,420,(BT11-BT24*4-8)/5)</f>
        <v>420</v>
      </c>
      <c r="BV24" s="29">
        <f>IF((BT11-BT24*4-8)/5&lt;420.01,(BT11-BT24*4-BU24-8)/4,(BT11-BT24*4-8)/5)</f>
        <v>371.5</v>
      </c>
    </row>
    <row r="25" spans="1:74">
      <c r="A25" s="122"/>
      <c r="B25" s="125" t="str">
        <f ca="1">IF(OFFSET(AR3,MATCH(C3,AR4:AR104,0),7,1,1)&gt;0,OFFSET(AR3,MATCH(C3,AR4:AR103,0),7,1,1),"  ")</f>
        <v xml:space="preserve">  </v>
      </c>
      <c r="C25" s="126" t="str">
        <f ca="1">IF(OFFSET(AR3,MATCH(C3,AR4:AR104,0),8,1,1)&gt;0,OFFSET(AR3,MATCH(C3,AR4:AR103,0),8,1,1),"  ")</f>
        <v xml:space="preserve">  </v>
      </c>
      <c r="D25" s="27" t="str">
        <f ca="1">IF(OFFSET(AR3,MATCH(C3,AR4:AR104,0),18,1,1)=0,"","코맥스")</f>
        <v/>
      </c>
      <c r="E25" s="29" t="str">
        <f ca="1">IF(OFFSET(AR3,MATCH(C3,AR4:AR104,0),18,1,1)=0,"",OFFSET(AR3,MATCH(C3,AR4:AR104,0),20,1,1))</f>
        <v/>
      </c>
      <c r="F25" s="109" t="s">
        <v>103</v>
      </c>
      <c r="G25" s="4"/>
      <c r="H25" s="29"/>
      <c r="K25" s="4"/>
      <c r="L25" s="5" t="s">
        <v>29</v>
      </c>
      <c r="M25" s="4">
        <f>C5-AF12</f>
        <v>2008</v>
      </c>
      <c r="N25" s="4"/>
      <c r="O25" s="4"/>
      <c r="AR25" s="57">
        <v>267</v>
      </c>
      <c r="AS25" s="55">
        <f>BQ12</f>
        <v>240</v>
      </c>
      <c r="AT25" s="50">
        <f>BT12</f>
        <v>1600</v>
      </c>
      <c r="AU25" s="50">
        <f>BR12</f>
        <v>680</v>
      </c>
      <c r="AV25" s="50">
        <f>BT12</f>
        <v>1600</v>
      </c>
      <c r="AW25" s="50">
        <f>BQ12</f>
        <v>240</v>
      </c>
      <c r="AX25" s="50">
        <f>BU12</f>
        <v>432</v>
      </c>
      <c r="AY25" s="50">
        <f>BR12</f>
        <v>680</v>
      </c>
      <c r="AZ25" s="50">
        <f>BU12</f>
        <v>432</v>
      </c>
      <c r="BA25" s="58"/>
      <c r="BB25" s="59"/>
      <c r="BC25" s="55">
        <v>0</v>
      </c>
      <c r="BD25" s="50">
        <v>0</v>
      </c>
      <c r="BE25" s="50">
        <v>0</v>
      </c>
      <c r="BF25" s="29"/>
      <c r="BG25" s="55"/>
      <c r="BH25" s="5" t="s">
        <v>104</v>
      </c>
      <c r="BI25" s="29" t="s">
        <v>38</v>
      </c>
      <c r="BJ25" s="44">
        <v>0</v>
      </c>
      <c r="BP25" s="44"/>
      <c r="BQ25" s="27">
        <f>BQ11</f>
        <v>922</v>
      </c>
      <c r="BR25" s="5"/>
      <c r="BS25" s="29"/>
      <c r="BT25" s="27">
        <v>50</v>
      </c>
      <c r="BU25" s="5">
        <v>200</v>
      </c>
      <c r="BV25" s="29">
        <f>BT11-BT25-BT25-BU25-BU25-8</f>
        <v>1526</v>
      </c>
    </row>
    <row r="26" spans="1:74" ht="17.25" thickBot="1">
      <c r="A26" s="122"/>
      <c r="B26" s="125" t="str">
        <f ca="1">IF(OFFSET(AR3,MATCH(C3,AR4:AR104,0),9,1,1)&gt;0,OFFSET(AR3,MATCH(C3,AR4:AR103,0),9,1,1),"  ")</f>
        <v xml:space="preserve">  </v>
      </c>
      <c r="C26" s="126" t="str">
        <f ca="1">IF(OFFSET(AR3,MATCH(C3,AR4:AR104,0),10,1,1)&gt;0,OFFSET(AR3,MATCH(C3,AR4:AR103,0),10,1,1),"  ")</f>
        <v xml:space="preserve">  </v>
      </c>
      <c r="D26" s="27" t="str">
        <f ca="1">IF(OFFSET(AR3,MATCH(C3,AR4:AR104,0),18,1,1)=0,"","701")</f>
        <v/>
      </c>
      <c r="E26" s="29" t="str">
        <f ca="1">IF(OFFSET(AR3,MATCH(C3,AR4:AR104,0),18,1,1)=0,"",OFFSET(AR3,MATCH(C3,AR4:AR104,0),21,1,1))</f>
        <v/>
      </c>
      <c r="F26" s="109" t="s">
        <v>105</v>
      </c>
      <c r="G26" s="4"/>
      <c r="H26" s="29"/>
      <c r="K26" s="4" t="s">
        <v>101</v>
      </c>
      <c r="L26" s="5" t="s">
        <v>27</v>
      </c>
      <c r="M26" s="5">
        <f>M24-116+15</f>
        <v>57</v>
      </c>
      <c r="N26" s="5">
        <f>N24-116+15</f>
        <v>57</v>
      </c>
      <c r="O26" s="5">
        <f>O24-102</f>
        <v>-16</v>
      </c>
      <c r="AR26" s="57">
        <v>246</v>
      </c>
      <c r="AS26" s="55">
        <f>BQ11</f>
        <v>922</v>
      </c>
      <c r="AT26" s="50">
        <f>BT11</f>
        <v>2034</v>
      </c>
      <c r="AU26" s="50">
        <f>AS26</f>
        <v>922</v>
      </c>
      <c r="AV26" s="130">
        <f>(BT11/90)+1</f>
        <v>23.6</v>
      </c>
      <c r="AW26" s="50" t="s">
        <v>106</v>
      </c>
      <c r="AX26" s="50"/>
      <c r="AY26" s="50"/>
      <c r="AZ26" s="50"/>
      <c r="BA26" s="58"/>
      <c r="BB26" s="59"/>
      <c r="BC26" s="55">
        <v>0</v>
      </c>
      <c r="BD26" s="50">
        <v>0</v>
      </c>
      <c r="BE26" s="50">
        <v>0</v>
      </c>
      <c r="BF26" s="29"/>
      <c r="BG26" s="55"/>
      <c r="BH26" s="5" t="s">
        <v>107</v>
      </c>
      <c r="BI26" s="29" t="s">
        <v>38</v>
      </c>
      <c r="BJ26" s="44">
        <v>0</v>
      </c>
      <c r="BP26" s="44">
        <f>BP17</f>
        <v>100</v>
      </c>
      <c r="BQ26" s="27">
        <f>BQ17</f>
        <v>240</v>
      </c>
      <c r="BR26" s="5">
        <f>BR17</f>
        <v>592</v>
      </c>
      <c r="BS26" s="29"/>
      <c r="BT26" s="27">
        <v>50</v>
      </c>
      <c r="BU26" s="5">
        <f>(BT11-BT26-BT26-6)/2</f>
        <v>964</v>
      </c>
      <c r="BV26" s="29"/>
    </row>
    <row r="27" spans="1:74" ht="16.5" customHeight="1" thickBot="1">
      <c r="A27" s="131"/>
      <c r="B27" s="132">
        <f ca="1">OFFSET(AR3,MATCH(C3,AR4:AR103,0),17,1,1)</f>
        <v>0</v>
      </c>
      <c r="C27" s="133"/>
      <c r="D27" s="68" t="str">
        <f ca="1">IF(OFFSET(AR3,MATCH(C3,AR4:AR104,0),18,1,1)=0,"","하이원")</f>
        <v/>
      </c>
      <c r="E27" s="70" t="str">
        <f ca="1">IF(OFFSET(AR3,MATCH(C3,AR4:AR104,0),18,1,1)=0,"",OFFSET(AR3,MATCH(C3,AR4:AR104,0),22,1,1))</f>
        <v/>
      </c>
      <c r="F27" s="134" t="s">
        <v>108</v>
      </c>
      <c r="G27" s="135"/>
      <c r="H27" s="70"/>
      <c r="K27" s="4"/>
      <c r="L27" s="5" t="s">
        <v>29</v>
      </c>
      <c r="M27" s="4">
        <f>M25-300+15</f>
        <v>1723</v>
      </c>
      <c r="N27" s="4"/>
      <c r="O27" s="4"/>
      <c r="AR27" s="136">
        <v>265</v>
      </c>
      <c r="AS27" s="137">
        <f>BQ23</f>
        <v>922</v>
      </c>
      <c r="AT27" s="138">
        <f>BT23</f>
        <v>50</v>
      </c>
      <c r="AU27" s="138">
        <f>BQ23</f>
        <v>922</v>
      </c>
      <c r="AV27" s="138">
        <f>BV23</f>
        <v>376.5</v>
      </c>
      <c r="AW27" s="138">
        <f>BQ23</f>
        <v>922</v>
      </c>
      <c r="AX27" s="138">
        <f>BU23</f>
        <v>420</v>
      </c>
      <c r="AY27" s="139"/>
      <c r="AZ27" s="139"/>
      <c r="BA27" s="139">
        <f>BA18</f>
        <v>922</v>
      </c>
      <c r="BB27" s="140">
        <f>BB18</f>
        <v>2034</v>
      </c>
      <c r="BC27" s="137">
        <v>0</v>
      </c>
      <c r="BD27" s="138">
        <v>0</v>
      </c>
      <c r="BE27" s="138">
        <v>0</v>
      </c>
      <c r="BF27" s="141"/>
      <c r="BG27" s="137"/>
      <c r="BH27" s="138" t="s">
        <v>109</v>
      </c>
      <c r="BI27" s="43" t="str">
        <f>"가운데판넬  "&amp;AX27</f>
        <v>가운데판넬  420</v>
      </c>
      <c r="BJ27" s="136">
        <v>1</v>
      </c>
      <c r="BK27" s="3">
        <f>ROUNDDOWN(((3.5+3+AV27+AV27+AT27+10+140)+(3.5+3+AV27+AV27+AX27+AT27-10-250))/2,-1)</f>
        <v>960</v>
      </c>
      <c r="BL27" s="142">
        <f>ROUNDDOWN(((3.5+3+AV27+AV27+AT27+10+120)+(3.5+3+AV27+AV27+AX27+AT27-10-270))/2,-1)</f>
        <v>940</v>
      </c>
      <c r="BM27" s="142">
        <f>ROUNDDOWN(((3.5+3+AV27+AV27+AT27+10+110)+(3.5+3+AV27+AV27+AX27+AT27-10-230))/2,-1)</f>
        <v>950</v>
      </c>
      <c r="BN27" s="142">
        <f>ROUNDDOWN(((3.5+3+AV27+AV27+AT27+10+100)+(3.5+3+AV27+AV27+AX27+AT27-10-295))/2,-1)</f>
        <v>920</v>
      </c>
      <c r="BP27" s="44">
        <v>140</v>
      </c>
      <c r="BQ27" s="27">
        <v>240</v>
      </c>
      <c r="BR27" s="5">
        <f>(BQ21-BQ27-BP27+15-5)</f>
        <v>552</v>
      </c>
      <c r="BS27" s="29"/>
      <c r="BT27" s="27"/>
      <c r="BU27" s="5"/>
      <c r="BV27" s="29"/>
    </row>
    <row r="28" spans="1:74">
      <c r="F28" s="86" t="str">
        <f>IF(F5&gt;C5,"남마","")</f>
        <v/>
      </c>
      <c r="G28" s="42" t="str">
        <f>IF(C5&lt;F5,IF(G5="판",M34,"유리바"),"")</f>
        <v/>
      </c>
      <c r="H28" s="43" t="str">
        <f>IF(C5&lt;F5,IF(G5="판",N34,M35),"")</f>
        <v/>
      </c>
      <c r="K28" s="5" t="s">
        <v>110</v>
      </c>
      <c r="L28" s="5"/>
      <c r="M28" s="4">
        <f>G21-300+15-20</f>
        <v>1732</v>
      </c>
      <c r="N28" s="4"/>
      <c r="O28" s="4"/>
      <c r="AR28" s="136">
        <v>245</v>
      </c>
      <c r="AS28" s="137">
        <f>BQ24</f>
        <v>922</v>
      </c>
      <c r="AT28" s="138">
        <f>BT24</f>
        <v>30</v>
      </c>
      <c r="AU28" s="138">
        <f>BQ24</f>
        <v>922</v>
      </c>
      <c r="AV28" s="138">
        <f>BV24</f>
        <v>371.5</v>
      </c>
      <c r="AW28" s="138">
        <f>BQ24</f>
        <v>922</v>
      </c>
      <c r="AX28" s="138">
        <f>BU24</f>
        <v>420</v>
      </c>
      <c r="AY28" s="139"/>
      <c r="AZ28" s="139"/>
      <c r="BA28" s="139">
        <f>BA27</f>
        <v>922</v>
      </c>
      <c r="BB28" s="140">
        <f>BB27</f>
        <v>2034</v>
      </c>
      <c r="BC28" s="137">
        <v>0</v>
      </c>
      <c r="BD28" s="138">
        <v>0</v>
      </c>
      <c r="BE28" s="138">
        <v>0</v>
      </c>
      <c r="BF28" s="141"/>
      <c r="BG28" s="137"/>
      <c r="BH28" s="138" t="s">
        <v>111</v>
      </c>
      <c r="BI28" s="43" t="str">
        <f>"가운데판넬  "&amp;AX28</f>
        <v>가운데판넬  420</v>
      </c>
      <c r="BJ28" s="136">
        <v>1</v>
      </c>
      <c r="BK28" s="3">
        <f>ROUNDDOWN(((3.5+4+AV28+AV28+AT28+AT28+10+140)+(3.5+4+AV28+AV28+AX28+AT28+AT28-10-250))/2,-1)</f>
        <v>960</v>
      </c>
      <c r="BL28" s="142">
        <f>ROUNDDOWN(((3.5+4+AV28+AV28+AT28+AT28+10+120)+(3.5+4+AV28+AV28+AX28+AT28+AT28-10-270))/2,-1)</f>
        <v>940</v>
      </c>
      <c r="BM28" s="142">
        <f>ROUNDDOWN(((3.5+4+AV28+AV28+AT28+AT28+10+110)+(3.5+4+AV28+AV28+AX28+AT28+AT28-10-230))/2,-1)</f>
        <v>960</v>
      </c>
      <c r="BN28" s="142">
        <f>ROUNDDOWN(((3.5+4+AV28+AV28+AT28+AT28+10+100)+(3.5+4+AV28+AV28+AX28+AT28+AT28-10-295))/2,-1)</f>
        <v>920</v>
      </c>
      <c r="BP28" s="44"/>
      <c r="BQ28" s="27">
        <f>BQ11</f>
        <v>922</v>
      </c>
      <c r="BR28" s="5"/>
      <c r="BS28" s="29"/>
      <c r="BT28" s="27">
        <v>450</v>
      </c>
      <c r="BU28" s="5">
        <f>(BT11-BT28-4)/2</f>
        <v>790</v>
      </c>
      <c r="BV28" s="29"/>
    </row>
    <row r="29" spans="1:74">
      <c r="B29" s="143">
        <f>C4</f>
        <v>1240</v>
      </c>
      <c r="C29" s="143"/>
      <c r="F29" s="30"/>
      <c r="G29" s="5" t="str">
        <f>IF(C5&lt;F5,IF(G5="판","","유리가로바"),"")</f>
        <v/>
      </c>
      <c r="H29" s="29" t="str">
        <f>IF(C5&lt;F5,IF(G5="판","",M36),"")</f>
        <v/>
      </c>
      <c r="AR29" s="57">
        <v>310</v>
      </c>
      <c r="AS29" s="55">
        <f>BQ11</f>
        <v>922</v>
      </c>
      <c r="AT29" s="50">
        <f>BT11</f>
        <v>2034</v>
      </c>
      <c r="AU29" s="50"/>
      <c r="AV29" s="50"/>
      <c r="AW29" s="50"/>
      <c r="AX29" s="50"/>
      <c r="AY29" s="50"/>
      <c r="AZ29" s="50"/>
      <c r="BA29" s="50"/>
      <c r="BB29" s="144"/>
      <c r="BC29" s="55">
        <v>0</v>
      </c>
      <c r="BD29" s="50">
        <v>1</v>
      </c>
      <c r="BE29" s="50">
        <v>0</v>
      </c>
      <c r="BF29" s="29"/>
      <c r="BG29" s="55"/>
      <c r="BH29" s="5" t="str">
        <f>"후레임 블랙 /전면 실버 / 후면 실버 / 소대 유리격자"</f>
        <v>후레임 블랙 /전면 실버 / 후면 실버 / 소대 유리격자</v>
      </c>
      <c r="BI29" s="29" t="str">
        <f ca="1">"격자간격"&amp;IF(C5&gt;2200,ROUND((((C16-37)/9)-17),0),ROUND((((C16-37)/8)-17),0))</f>
        <v>격자간격-22</v>
      </c>
      <c r="BJ29" s="44">
        <v>0</v>
      </c>
      <c r="BP29" s="44"/>
      <c r="BQ29" s="27">
        <v>150</v>
      </c>
      <c r="BR29" s="5">
        <f>(BQ11-BQ29-4)/2</f>
        <v>384</v>
      </c>
      <c r="BS29" s="29"/>
      <c r="BT29" s="27"/>
      <c r="BU29" s="5"/>
      <c r="BV29" s="29"/>
    </row>
    <row r="30" spans="1:74" ht="17.25" thickBot="1">
      <c r="B30" s="145"/>
      <c r="C30" s="145"/>
      <c r="F30" s="68" t="str">
        <f>IF(F5&gt;C5,"남마유리","")</f>
        <v/>
      </c>
      <c r="G30" s="146" t="str">
        <f>IF(C5&lt;F5,IF(G5="판","",M37),"")</f>
        <v/>
      </c>
      <c r="H30" s="70" t="str">
        <f>IF(C5&lt;F5,IF(G5="판","",N37),"")</f>
        <v/>
      </c>
      <c r="K30" s="5" t="s">
        <v>49</v>
      </c>
      <c r="L30" s="5" t="s">
        <v>112</v>
      </c>
      <c r="M30" s="5">
        <f>C4-90-C10-15</f>
        <v>175</v>
      </c>
      <c r="N30" s="5">
        <f>M7</f>
        <v>2039</v>
      </c>
      <c r="AR30" s="57">
        <v>260</v>
      </c>
      <c r="AS30" s="55">
        <f>BQ11</f>
        <v>922</v>
      </c>
      <c r="AT30" s="50">
        <f>BT11</f>
        <v>2034</v>
      </c>
      <c r="AU30" s="50"/>
      <c r="AV30" s="50"/>
      <c r="AW30" s="50"/>
      <c r="AX30" s="50"/>
      <c r="AY30" s="50"/>
      <c r="AZ30" s="50"/>
      <c r="BA30" s="50"/>
      <c r="BB30" s="144"/>
      <c r="BC30" s="55">
        <v>0</v>
      </c>
      <c r="BD30" s="50">
        <v>1</v>
      </c>
      <c r="BE30" s="50">
        <v>0</v>
      </c>
      <c r="BF30" s="29"/>
      <c r="BG30" s="55"/>
      <c r="BH30" s="5" t="s">
        <v>113</v>
      </c>
      <c r="BI30" s="29" t="s">
        <v>38</v>
      </c>
      <c r="BJ30" s="44">
        <v>0</v>
      </c>
      <c r="BP30" s="44">
        <v>240</v>
      </c>
      <c r="BQ30" s="27">
        <v>240</v>
      </c>
      <c r="BR30" s="5">
        <f>(BQ11-BQ30-BP30+15-5)</f>
        <v>452</v>
      </c>
      <c r="BS30" s="29"/>
      <c r="BT30" s="27"/>
      <c r="BU30" s="5"/>
      <c r="BV30" s="29"/>
    </row>
    <row r="31" spans="1:74" ht="7.5" customHeight="1" thickBot="1">
      <c r="A31" s="147"/>
      <c r="B31" s="148"/>
      <c r="C31" s="148"/>
      <c r="D31" s="149"/>
      <c r="K31" s="5"/>
      <c r="L31" s="5" t="s">
        <v>114</v>
      </c>
      <c r="M31" s="5">
        <f>M30-AC7-7</f>
        <v>140</v>
      </c>
      <c r="N31" s="5"/>
      <c r="AR31" s="57">
        <v>304</v>
      </c>
      <c r="AS31" s="55">
        <f>AS30</f>
        <v>922</v>
      </c>
      <c r="AT31" s="50">
        <f>AT30</f>
        <v>2034</v>
      </c>
      <c r="AU31" s="50"/>
      <c r="AV31" s="50"/>
      <c r="AW31" s="50"/>
      <c r="AX31" s="50"/>
      <c r="AY31" s="50"/>
      <c r="AZ31" s="50"/>
      <c r="BA31" s="50"/>
      <c r="BB31" s="144"/>
      <c r="BC31" s="55">
        <v>0</v>
      </c>
      <c r="BD31" s="50">
        <v>1</v>
      </c>
      <c r="BE31" s="50">
        <v>0</v>
      </c>
      <c r="BF31" s="29"/>
      <c r="BG31" s="55"/>
      <c r="BH31" s="5" t="s">
        <v>115</v>
      </c>
      <c r="BI31" s="29" t="s">
        <v>38</v>
      </c>
      <c r="BJ31" s="44">
        <v>0</v>
      </c>
      <c r="BP31" s="44"/>
      <c r="BQ31" s="27">
        <v>98</v>
      </c>
      <c r="BR31" s="5">
        <v>240</v>
      </c>
      <c r="BS31" s="29">
        <v>340</v>
      </c>
      <c r="BT31" s="27">
        <f>BT13</f>
        <v>420</v>
      </c>
      <c r="BU31" s="5">
        <f>BT13+BT13+BT13+4</f>
        <v>1264</v>
      </c>
      <c r="BV31" s="29"/>
    </row>
    <row r="32" spans="1:74" ht="30" customHeight="1">
      <c r="A32" s="150"/>
      <c r="C32" s="10" t="str">
        <f>IF(F5&gt;C5,C5-30&amp;"체크 후 아래로","")</f>
        <v/>
      </c>
      <c r="D32" s="151"/>
      <c r="F32" s="152"/>
      <c r="G32" s="152"/>
      <c r="H32" s="152"/>
      <c r="I32"/>
      <c r="J32"/>
      <c r="K32" s="153"/>
      <c r="L32" s="40"/>
      <c r="M32" s="5">
        <f>M31-3</f>
        <v>137</v>
      </c>
      <c r="N32" s="5">
        <f>BT11</f>
        <v>2034</v>
      </c>
      <c r="AR32" s="57">
        <v>215</v>
      </c>
      <c r="AS32" s="55">
        <f>BQ25</f>
        <v>922</v>
      </c>
      <c r="AT32" s="50">
        <f>BT25</f>
        <v>50</v>
      </c>
      <c r="AU32" s="50">
        <f>BQ25</f>
        <v>922</v>
      </c>
      <c r="AV32" s="50">
        <f>BU25</f>
        <v>200</v>
      </c>
      <c r="AW32" s="50">
        <f>BQ25</f>
        <v>922</v>
      </c>
      <c r="AX32" s="50">
        <f>BV25</f>
        <v>1526</v>
      </c>
      <c r="AY32" s="50">
        <f>BQ25</f>
        <v>922</v>
      </c>
      <c r="AZ32" s="50">
        <f>BT11</f>
        <v>2034</v>
      </c>
      <c r="BA32" s="50"/>
      <c r="BB32" s="144"/>
      <c r="BC32" s="55">
        <v>0</v>
      </c>
      <c r="BD32" s="50">
        <v>0</v>
      </c>
      <c r="BE32" s="50">
        <v>0</v>
      </c>
      <c r="BF32" s="29"/>
      <c r="BG32" s="55"/>
      <c r="BH32" s="5" t="s">
        <v>116</v>
      </c>
      <c r="BI32" s="29" t="s">
        <v>38</v>
      </c>
      <c r="BJ32" s="44">
        <v>0</v>
      </c>
      <c r="BP32" s="44"/>
      <c r="BQ32" s="27">
        <f>BQ11-BQ12-2</f>
        <v>680</v>
      </c>
      <c r="BR32" s="5">
        <f>BQ32-100</f>
        <v>580</v>
      </c>
      <c r="BS32" s="29"/>
      <c r="BT32" s="27"/>
      <c r="BU32" s="5"/>
      <c r="BV32" s="29"/>
    </row>
    <row r="33" spans="1:75">
      <c r="A33" s="150"/>
      <c r="D33" s="154"/>
      <c r="F33" s="155"/>
      <c r="G33" s="155"/>
      <c r="H33" s="155"/>
      <c r="I33"/>
      <c r="J33"/>
      <c r="K33" s="156"/>
      <c r="L33" s="157"/>
      <c r="AR33" s="57">
        <v>242</v>
      </c>
      <c r="AS33" s="55">
        <f>BQ17</f>
        <v>240</v>
      </c>
      <c r="AT33" s="50">
        <f>BT11</f>
        <v>2034</v>
      </c>
      <c r="AU33" s="50">
        <f>BR17</f>
        <v>592</v>
      </c>
      <c r="AV33" s="50">
        <f>BT26</f>
        <v>50</v>
      </c>
      <c r="AW33" s="50">
        <f>BR26</f>
        <v>592</v>
      </c>
      <c r="AX33" s="50">
        <f>BU26</f>
        <v>964</v>
      </c>
      <c r="AY33" s="50">
        <f>BQ26</f>
        <v>240</v>
      </c>
      <c r="AZ33" s="50">
        <f>BT11</f>
        <v>2034</v>
      </c>
      <c r="BA33" s="50">
        <f>BR26</f>
        <v>592</v>
      </c>
      <c r="BB33" s="144">
        <f>BT11</f>
        <v>2034</v>
      </c>
      <c r="BC33" s="55">
        <v>1</v>
      </c>
      <c r="BD33" s="50">
        <v>0</v>
      </c>
      <c r="BE33" s="50">
        <v>0</v>
      </c>
      <c r="BF33" s="29"/>
      <c r="BG33" s="55">
        <v>100</v>
      </c>
      <c r="BH33" s="5" t="s">
        <v>117</v>
      </c>
      <c r="BI33" s="29" t="s">
        <v>38</v>
      </c>
      <c r="BJ33" s="44">
        <v>0</v>
      </c>
      <c r="BP33" s="44">
        <v>70</v>
      </c>
      <c r="BQ33" s="27">
        <v>200</v>
      </c>
      <c r="BR33" s="5">
        <f>(BQ11-BQ33-BP33+15-5)</f>
        <v>662</v>
      </c>
      <c r="BS33" s="29"/>
      <c r="BT33" s="27">
        <f>BT11</f>
        <v>2034</v>
      </c>
      <c r="BU33" s="5"/>
      <c r="BV33" s="29"/>
    </row>
    <row r="34" spans="1:75">
      <c r="A34" s="150"/>
      <c r="D34" s="154"/>
      <c r="F34" s="155"/>
      <c r="G34" s="155"/>
      <c r="H34" s="155"/>
      <c r="I34"/>
      <c r="J34"/>
      <c r="K34"/>
      <c r="L34" s="158"/>
      <c r="M34" s="3">
        <f>C21+8</f>
        <v>1158</v>
      </c>
      <c r="N34" s="3">
        <f>F5-C5-C6-5</f>
        <v>-2205</v>
      </c>
      <c r="AR34" s="57">
        <v>251</v>
      </c>
      <c r="AS34" s="55">
        <f>BQ15</f>
        <v>416</v>
      </c>
      <c r="AT34" s="50">
        <f>BT11</f>
        <v>2034</v>
      </c>
      <c r="AU34" s="50"/>
      <c r="AV34" s="50"/>
      <c r="AW34" s="50"/>
      <c r="AX34" s="50"/>
      <c r="AY34" s="50"/>
      <c r="AZ34" s="50"/>
      <c r="BA34" s="50"/>
      <c r="BB34" s="144"/>
      <c r="BC34" s="55">
        <v>1</v>
      </c>
      <c r="BD34" s="50">
        <v>1</v>
      </c>
      <c r="BE34" s="50">
        <v>0</v>
      </c>
      <c r="BF34" s="29"/>
      <c r="BG34" s="55">
        <v>100</v>
      </c>
      <c r="BH34" s="5" t="s">
        <v>66</v>
      </c>
      <c r="BI34" s="29" t="s">
        <v>38</v>
      </c>
      <c r="BJ34" s="44">
        <v>0</v>
      </c>
      <c r="BP34" s="44">
        <v>100</v>
      </c>
      <c r="BQ34" s="27">
        <v>180</v>
      </c>
      <c r="BR34" s="5">
        <f>(BQ11-BQ34-BP34+15-5)</f>
        <v>652</v>
      </c>
      <c r="BS34" s="29">
        <f>BR34-BQ34-2</f>
        <v>470</v>
      </c>
      <c r="BT34" s="27">
        <f>BT33</f>
        <v>2034</v>
      </c>
      <c r="BU34" s="5"/>
      <c r="BV34" s="29"/>
    </row>
    <row r="35" spans="1:75" ht="16.5" customHeight="1" thickBot="1">
      <c r="A35" s="150"/>
      <c r="B35" s="159">
        <f>IF(C3=0,"변형모델",C3)</f>
        <v>316</v>
      </c>
      <c r="C35" s="159"/>
      <c r="D35" s="154"/>
      <c r="E35" s="143">
        <f>C5</f>
        <v>2200</v>
      </c>
      <c r="F35" s="155"/>
      <c r="G35" s="155"/>
      <c r="H35" s="155"/>
      <c r="I35"/>
      <c r="J35"/>
      <c r="K35"/>
      <c r="L35" s="158"/>
      <c r="M35" s="3">
        <f>M34</f>
        <v>1158</v>
      </c>
      <c r="AR35" s="57">
        <v>268</v>
      </c>
      <c r="AS35" s="55">
        <f>AS34</f>
        <v>416</v>
      </c>
      <c r="AT35" s="50">
        <f>AT34</f>
        <v>2034</v>
      </c>
      <c r="AU35" s="50"/>
      <c r="AV35" s="50"/>
      <c r="AW35" s="50"/>
      <c r="AX35" s="50"/>
      <c r="AY35" s="50"/>
      <c r="AZ35" s="50"/>
      <c r="BA35" s="50"/>
      <c r="BB35" s="144"/>
      <c r="BC35" s="55">
        <v>1</v>
      </c>
      <c r="BD35" s="50">
        <v>1</v>
      </c>
      <c r="BE35" s="50">
        <v>0</v>
      </c>
      <c r="BF35" s="29"/>
      <c r="BG35" s="55">
        <v>100</v>
      </c>
      <c r="BH35" s="5" t="s">
        <v>37</v>
      </c>
      <c r="BI35" s="29" t="s">
        <v>38</v>
      </c>
      <c r="BJ35" s="44">
        <v>0</v>
      </c>
      <c r="BP35" s="44"/>
      <c r="BQ35" s="61">
        <v>240</v>
      </c>
      <c r="BR35" s="9">
        <f>BR12</f>
        <v>680</v>
      </c>
      <c r="BS35" s="63">
        <f>BQ11</f>
        <v>922</v>
      </c>
      <c r="BT35" s="160">
        <f>ROUND((BT11-4)/3,0)</f>
        <v>677</v>
      </c>
      <c r="BU35" s="9">
        <f>BT11</f>
        <v>2034</v>
      </c>
      <c r="BV35" s="63"/>
    </row>
    <row r="36" spans="1:75" ht="16.5" customHeight="1" thickBot="1">
      <c r="A36" s="150"/>
      <c r="B36" s="159"/>
      <c r="C36" s="159"/>
      <c r="D36" s="154"/>
      <c r="E36" s="143"/>
      <c r="F36" s="155"/>
      <c r="G36" s="155"/>
      <c r="H36" s="155"/>
      <c r="I36"/>
      <c r="J36"/>
      <c r="K36"/>
      <c r="L36" s="158"/>
      <c r="M36" s="3">
        <f>N37-15</f>
        <v>-2316</v>
      </c>
      <c r="AR36" s="57">
        <v>254</v>
      </c>
      <c r="AS36" s="55">
        <f>BQ27</f>
        <v>240</v>
      </c>
      <c r="AT36" s="50">
        <f>BT11</f>
        <v>2034</v>
      </c>
      <c r="AU36" s="50">
        <f>BR27</f>
        <v>552</v>
      </c>
      <c r="AV36" s="50">
        <f>BT11</f>
        <v>2034</v>
      </c>
      <c r="AW36" s="50"/>
      <c r="AX36" s="50"/>
      <c r="AY36" s="50"/>
      <c r="AZ36" s="50"/>
      <c r="BA36" s="50"/>
      <c r="BB36" s="144"/>
      <c r="BC36" s="55">
        <v>1</v>
      </c>
      <c r="BD36" s="50">
        <v>0</v>
      </c>
      <c r="BE36" s="50">
        <v>1</v>
      </c>
      <c r="BF36" s="29"/>
      <c r="BG36" s="161">
        <v>140</v>
      </c>
      <c r="BH36" s="5" t="s">
        <v>118</v>
      </c>
      <c r="BI36" s="29" t="s">
        <v>38</v>
      </c>
      <c r="BJ36" s="44">
        <v>0</v>
      </c>
      <c r="BP36" s="162"/>
      <c r="BQ36" s="163">
        <f>BQ13</f>
        <v>922</v>
      </c>
      <c r="BR36" s="164">
        <v>200</v>
      </c>
      <c r="BS36" s="165">
        <f>BQ36-2-BR36</f>
        <v>720</v>
      </c>
      <c r="BT36" s="163">
        <f>240</f>
        <v>240</v>
      </c>
      <c r="BU36" s="164">
        <f>BT11</f>
        <v>2034</v>
      </c>
      <c r="BV36" s="165">
        <f>BU36-BT36-2</f>
        <v>1792</v>
      </c>
    </row>
    <row r="37" spans="1:75">
      <c r="A37" s="150"/>
      <c r="D37" s="154"/>
      <c r="F37" s="155"/>
      <c r="G37" s="155"/>
      <c r="H37" s="155"/>
      <c r="I37"/>
      <c r="J37"/>
      <c r="K37"/>
      <c r="L37" s="158"/>
      <c r="M37" s="3">
        <f>M34-300+15</f>
        <v>873</v>
      </c>
      <c r="N37" s="3">
        <f>F5-C5-C6-101</f>
        <v>-2301</v>
      </c>
      <c r="AR37" s="57">
        <v>305</v>
      </c>
      <c r="AS37" s="55">
        <f>BQ11</f>
        <v>922</v>
      </c>
      <c r="AT37" s="50">
        <f>BT11</f>
        <v>2034</v>
      </c>
      <c r="AU37" s="50"/>
      <c r="AV37" s="50"/>
      <c r="AW37" s="50"/>
      <c r="AX37" s="50"/>
      <c r="AY37" s="50"/>
      <c r="AZ37" s="50"/>
      <c r="BA37" s="50"/>
      <c r="BB37" s="144"/>
      <c r="BC37" s="55">
        <v>0</v>
      </c>
      <c r="BD37" s="50">
        <v>1</v>
      </c>
      <c r="BE37" s="50">
        <v>0</v>
      </c>
      <c r="BF37" s="29"/>
      <c r="BG37" s="55"/>
      <c r="BH37" s="166" t="s">
        <v>119</v>
      </c>
      <c r="BI37" s="29" t="s">
        <v>38</v>
      </c>
      <c r="BJ37" s="44">
        <v>0</v>
      </c>
      <c r="BP37" s="44"/>
      <c r="BQ37" s="12">
        <f>BQ13</f>
        <v>922</v>
      </c>
      <c r="BR37" s="48"/>
      <c r="BS37" s="14"/>
      <c r="BT37" s="12">
        <f>BT35</f>
        <v>677</v>
      </c>
      <c r="BU37" s="48">
        <f>BT11</f>
        <v>2034</v>
      </c>
      <c r="BV37" s="14"/>
      <c r="BW37" s="167"/>
    </row>
    <row r="38" spans="1:75">
      <c r="A38" s="150"/>
      <c r="D38" s="154"/>
      <c r="F38" s="155"/>
      <c r="G38" s="155"/>
      <c r="H38" s="155"/>
      <c r="I38"/>
      <c r="J38"/>
      <c r="K38"/>
      <c r="L38" s="158"/>
      <c r="AR38" s="57">
        <v>306</v>
      </c>
      <c r="AS38" s="55">
        <f>AS37</f>
        <v>922</v>
      </c>
      <c r="AT38" s="50">
        <f>AT37</f>
        <v>2034</v>
      </c>
      <c r="AU38" s="50"/>
      <c r="AV38" s="50"/>
      <c r="AW38" s="50"/>
      <c r="AX38" s="50"/>
      <c r="AY38" s="50"/>
      <c r="AZ38" s="50"/>
      <c r="BA38" s="50"/>
      <c r="BB38" s="144"/>
      <c r="BC38" s="55">
        <v>0</v>
      </c>
      <c r="BD38" s="50">
        <v>1</v>
      </c>
      <c r="BE38" s="50">
        <v>0</v>
      </c>
      <c r="BF38" s="29"/>
      <c r="BG38" s="55"/>
      <c r="BH38" s="5" t="s">
        <v>120</v>
      </c>
      <c r="BI38" s="29" t="s">
        <v>38</v>
      </c>
      <c r="BJ38" s="44">
        <v>0</v>
      </c>
      <c r="BP38" s="44"/>
      <c r="BQ38" s="27">
        <v>240</v>
      </c>
      <c r="BR38" s="5">
        <f>BQ11-2-BQ38</f>
        <v>680</v>
      </c>
      <c r="BS38" s="29">
        <f>BQ11</f>
        <v>922</v>
      </c>
      <c r="BT38" s="27">
        <f>BT11</f>
        <v>2034</v>
      </c>
      <c r="BU38" s="5"/>
      <c r="BV38" s="29"/>
    </row>
    <row r="39" spans="1:75">
      <c r="A39" s="150"/>
      <c r="D39" s="154"/>
      <c r="F39" s="155"/>
      <c r="G39" s="155"/>
      <c r="H39" s="155"/>
      <c r="I39"/>
      <c r="J39"/>
      <c r="K39"/>
      <c r="L39" s="158"/>
      <c r="AR39" s="57">
        <v>203</v>
      </c>
      <c r="AS39" s="55">
        <f>BQ14</f>
        <v>346</v>
      </c>
      <c r="AT39" s="50">
        <f>AT38</f>
        <v>2034</v>
      </c>
      <c r="AU39" s="50"/>
      <c r="AV39" s="50"/>
      <c r="AW39" s="50"/>
      <c r="AX39" s="50"/>
      <c r="AY39" s="50"/>
      <c r="AZ39" s="50"/>
      <c r="BA39" s="50"/>
      <c r="BB39" s="144"/>
      <c r="BC39" s="55">
        <v>1</v>
      </c>
      <c r="BD39" s="50">
        <v>1</v>
      </c>
      <c r="BE39" s="50">
        <v>1</v>
      </c>
      <c r="BF39" s="29">
        <v>1</v>
      </c>
      <c r="BG39" s="55">
        <v>240</v>
      </c>
      <c r="BH39" s="5" t="s">
        <v>121</v>
      </c>
      <c r="BI39" s="29" t="s">
        <v>38</v>
      </c>
      <c r="BJ39" s="44">
        <v>0</v>
      </c>
      <c r="BP39" s="44"/>
      <c r="BQ39" s="27">
        <f>BQ11</f>
        <v>922</v>
      </c>
      <c r="BR39" s="5"/>
      <c r="BS39" s="29"/>
      <c r="BT39" s="27">
        <v>500</v>
      </c>
      <c r="BU39" s="5">
        <f>(BT11-4-BT39)/2</f>
        <v>765</v>
      </c>
      <c r="BV39" s="29">
        <f>BT11</f>
        <v>2034</v>
      </c>
    </row>
    <row r="40" spans="1:75" ht="18" customHeight="1">
      <c r="A40" s="168" t="s">
        <v>122</v>
      </c>
      <c r="B40" s="169"/>
      <c r="C40" s="169"/>
      <c r="D40" s="170"/>
      <c r="F40" s="155"/>
      <c r="G40" s="155"/>
      <c r="H40" s="155"/>
      <c r="I40"/>
      <c r="J40"/>
      <c r="K40"/>
      <c r="L40" s="158"/>
      <c r="AR40" s="57">
        <v>209</v>
      </c>
      <c r="AS40" s="55">
        <f>AS39</f>
        <v>346</v>
      </c>
      <c r="AT40" s="50">
        <f>AT39</f>
        <v>2034</v>
      </c>
      <c r="AU40" s="50"/>
      <c r="AV40" s="50"/>
      <c r="AW40" s="50"/>
      <c r="AX40" s="50"/>
      <c r="AY40" s="50"/>
      <c r="AZ40" s="50"/>
      <c r="BA40" s="50"/>
      <c r="BB40" s="144"/>
      <c r="BC40" s="55">
        <v>1</v>
      </c>
      <c r="BD40" s="50">
        <v>1</v>
      </c>
      <c r="BE40" s="50">
        <v>0</v>
      </c>
      <c r="BF40" s="29"/>
      <c r="BG40" s="55">
        <v>240</v>
      </c>
      <c r="BH40" s="5" t="s">
        <v>123</v>
      </c>
      <c r="BI40" s="29" t="s">
        <v>38</v>
      </c>
      <c r="BJ40" s="44">
        <v>0</v>
      </c>
      <c r="BP40" s="44"/>
      <c r="BQ40" s="27">
        <f>BQ11</f>
        <v>922</v>
      </c>
      <c r="BR40" s="5">
        <v>240</v>
      </c>
      <c r="BS40" s="29">
        <f>BQ40-2-BR40</f>
        <v>680</v>
      </c>
      <c r="BT40" s="27">
        <v>1500</v>
      </c>
      <c r="BU40" s="5"/>
      <c r="BV40" s="29">
        <f>BT11-BT40-2</f>
        <v>532</v>
      </c>
    </row>
    <row r="41" spans="1:75" ht="20.25" customHeight="1">
      <c r="A41" s="171"/>
      <c r="B41" s="169"/>
      <c r="C41" s="169"/>
      <c r="D41" s="170"/>
      <c r="E41" s="172" t="s">
        <v>10</v>
      </c>
      <c r="F41" s="155"/>
      <c r="G41" s="155"/>
      <c r="H41" s="155"/>
      <c r="I41"/>
      <c r="J41"/>
      <c r="K41"/>
      <c r="L41" s="158"/>
      <c r="AR41" s="44">
        <v>281</v>
      </c>
      <c r="AS41" s="27">
        <f>BQ12</f>
        <v>240</v>
      </c>
      <c r="AT41" s="5">
        <f>BT11</f>
        <v>2034</v>
      </c>
      <c r="AU41" s="5">
        <f>BR12-10</f>
        <v>670</v>
      </c>
      <c r="AV41" s="5">
        <f>AT41</f>
        <v>2034</v>
      </c>
      <c r="AW41" s="5">
        <f>BQ11</f>
        <v>922</v>
      </c>
      <c r="AX41" s="5">
        <f>BT11</f>
        <v>2034</v>
      </c>
      <c r="AY41" s="5"/>
      <c r="AZ41" s="5"/>
      <c r="BA41" s="5"/>
      <c r="BB41" s="29"/>
      <c r="BC41" s="27">
        <v>0</v>
      </c>
      <c r="BD41" s="5">
        <v>0</v>
      </c>
      <c r="BE41" s="5">
        <v>0</v>
      </c>
      <c r="BF41" s="29"/>
      <c r="BG41" s="27"/>
      <c r="BH41" s="5" t="s">
        <v>124</v>
      </c>
      <c r="BI41" s="29" t="s">
        <v>38</v>
      </c>
      <c r="BJ41" s="44">
        <v>0</v>
      </c>
      <c r="BP41" s="44"/>
      <c r="BQ41" s="27"/>
      <c r="BR41" s="5"/>
      <c r="BS41" s="29"/>
      <c r="BT41" s="27"/>
      <c r="BU41" s="5"/>
      <c r="BV41" s="29"/>
    </row>
    <row r="42" spans="1:75" ht="21" thickBot="1">
      <c r="A42" s="173"/>
      <c r="B42" s="174"/>
      <c r="C42" s="174"/>
      <c r="D42" s="175"/>
      <c r="E42" s="176">
        <f>C6</f>
        <v>0</v>
      </c>
      <c r="F42" s="155"/>
      <c r="G42" s="155"/>
      <c r="H42" s="155"/>
      <c r="I42"/>
      <c r="J42"/>
      <c r="K42" s="177"/>
      <c r="L42" s="178"/>
      <c r="AR42" s="44">
        <v>280</v>
      </c>
      <c r="AS42" s="27">
        <f t="shared" ref="AS42:AX42" si="0">AS41</f>
        <v>240</v>
      </c>
      <c r="AT42" s="5">
        <f t="shared" si="0"/>
        <v>2034</v>
      </c>
      <c r="AU42" s="5">
        <f t="shared" si="0"/>
        <v>670</v>
      </c>
      <c r="AV42" s="5">
        <f t="shared" si="0"/>
        <v>2034</v>
      </c>
      <c r="AW42" s="5">
        <f t="shared" si="0"/>
        <v>922</v>
      </c>
      <c r="AX42" s="5">
        <f t="shared" si="0"/>
        <v>2034</v>
      </c>
      <c r="AY42" s="5"/>
      <c r="AZ42" s="5"/>
      <c r="BA42" s="5"/>
      <c r="BB42" s="29"/>
      <c r="BC42" s="27">
        <v>0</v>
      </c>
      <c r="BD42" s="5">
        <v>0</v>
      </c>
      <c r="BE42" s="5">
        <v>0</v>
      </c>
      <c r="BF42" s="29"/>
      <c r="BG42" s="27"/>
      <c r="BH42" s="166" t="s">
        <v>125</v>
      </c>
      <c r="BI42" s="29" t="s">
        <v>38</v>
      </c>
      <c r="BJ42" s="44">
        <v>0</v>
      </c>
      <c r="BP42" s="44"/>
      <c r="BQ42" s="27"/>
      <c r="BR42" s="5"/>
      <c r="BS42" s="29"/>
      <c r="BT42" s="27"/>
      <c r="BU42" s="5"/>
      <c r="BV42" s="29"/>
      <c r="BW42" s="167"/>
    </row>
    <row r="43" spans="1:75" ht="17.25" thickBot="1">
      <c r="B43" s="148"/>
      <c r="C43" s="148"/>
      <c r="D43" s="148"/>
      <c r="E43" s="148"/>
      <c r="H43" s="3" t="s">
        <v>126</v>
      </c>
      <c r="AR43" s="44">
        <v>293</v>
      </c>
      <c r="AS43" s="27">
        <f>BQ12</f>
        <v>240</v>
      </c>
      <c r="AT43" s="5">
        <f>BT11</f>
        <v>2034</v>
      </c>
      <c r="AU43" s="5">
        <f>BR12</f>
        <v>680</v>
      </c>
      <c r="AV43" s="5">
        <f>BT15</f>
        <v>406</v>
      </c>
      <c r="AW43" s="5">
        <f>BQ11</f>
        <v>922</v>
      </c>
      <c r="AX43" s="5">
        <f>BT11</f>
        <v>2034</v>
      </c>
      <c r="AY43" s="5"/>
      <c r="AZ43" s="5"/>
      <c r="BA43" s="5"/>
      <c r="BB43" s="29"/>
      <c r="BC43" s="27">
        <v>0</v>
      </c>
      <c r="BD43" s="5">
        <v>0</v>
      </c>
      <c r="BE43" s="5">
        <v>0</v>
      </c>
      <c r="BF43" s="29"/>
      <c r="BG43" s="27"/>
      <c r="BH43" s="5" t="s">
        <v>127</v>
      </c>
      <c r="BI43" s="29" t="s">
        <v>38</v>
      </c>
      <c r="BJ43" s="44">
        <v>0</v>
      </c>
      <c r="BP43" s="105"/>
      <c r="BQ43" s="27"/>
      <c r="BR43" s="5"/>
      <c r="BS43" s="29"/>
      <c r="BT43" s="27"/>
      <c r="BU43" s="5"/>
      <c r="BV43" s="29"/>
    </row>
    <row r="44" spans="1:75" ht="17.25" customHeight="1" thickBot="1">
      <c r="A44" s="179" t="s">
        <v>128</v>
      </c>
      <c r="B44" s="180" t="str">
        <f ca="1">IF(G10="변경","색생변경 : 전면 :                           ,후면   :                                  ",OFFSET(AR3,MATCH(C3,AR4:AR165,0),16,1,1))</f>
        <v xml:space="preserve">색생변경 : 전면 :                           ,후면   :                                  </v>
      </c>
      <c r="C44" s="181"/>
      <c r="D44" s="181"/>
      <c r="E44" s="181"/>
      <c r="F44" s="181"/>
      <c r="G44" s="181"/>
      <c r="H44" s="182"/>
      <c r="AR44" s="44">
        <v>294</v>
      </c>
      <c r="AS44" s="27">
        <f>BQ29</f>
        <v>150</v>
      </c>
      <c r="AT44" s="5">
        <f>BT11</f>
        <v>2034</v>
      </c>
      <c r="AU44" s="5">
        <f>BR29</f>
        <v>384</v>
      </c>
      <c r="AV44" s="5">
        <f>BT11</f>
        <v>2034</v>
      </c>
      <c r="AW44" s="5">
        <f>BQ11</f>
        <v>922</v>
      </c>
      <c r="AX44" s="5">
        <f>BT11</f>
        <v>2034</v>
      </c>
      <c r="AY44" s="5"/>
      <c r="AZ44" s="5"/>
      <c r="BA44" s="5"/>
      <c r="BB44" s="29"/>
      <c r="BC44" s="27">
        <v>0</v>
      </c>
      <c r="BD44" s="5">
        <v>0</v>
      </c>
      <c r="BE44" s="5">
        <v>0</v>
      </c>
      <c r="BF44" s="29"/>
      <c r="BG44" s="27"/>
      <c r="BH44" s="5" t="s">
        <v>129</v>
      </c>
      <c r="BI44" s="29" t="s">
        <v>38</v>
      </c>
      <c r="BJ44" s="44">
        <v>0</v>
      </c>
      <c r="BP44" s="183"/>
      <c r="BQ44" s="68"/>
      <c r="BR44" s="146"/>
      <c r="BS44" s="70"/>
      <c r="BT44" s="68"/>
      <c r="BU44" s="146"/>
      <c r="BV44" s="70"/>
    </row>
    <row r="45" spans="1:75" ht="17.25" customHeight="1" thickBot="1">
      <c r="A45" s="184"/>
      <c r="B45" s="185"/>
      <c r="C45" s="186"/>
      <c r="D45" s="186"/>
      <c r="E45" s="186"/>
      <c r="F45" s="186"/>
      <c r="G45" s="186"/>
      <c r="H45" s="187"/>
      <c r="AR45" s="44">
        <v>282</v>
      </c>
      <c r="AS45" s="27">
        <f>BQ15</f>
        <v>416</v>
      </c>
      <c r="AT45" s="5">
        <f>BT11</f>
        <v>2034</v>
      </c>
      <c r="AU45" s="5"/>
      <c r="AV45" s="5"/>
      <c r="AW45" s="5"/>
      <c r="AX45" s="5"/>
      <c r="AY45" s="5"/>
      <c r="AZ45" s="5"/>
      <c r="BA45" s="5"/>
      <c r="BB45" s="29"/>
      <c r="BC45" s="27">
        <v>1</v>
      </c>
      <c r="BD45" s="5">
        <v>1</v>
      </c>
      <c r="BE45" s="5">
        <v>1</v>
      </c>
      <c r="BF45" s="29">
        <v>1</v>
      </c>
      <c r="BG45" s="27">
        <v>100</v>
      </c>
      <c r="BH45" s="5" t="s">
        <v>130</v>
      </c>
      <c r="BI45" s="29" t="s">
        <v>38</v>
      </c>
      <c r="BJ45" s="44">
        <v>0</v>
      </c>
    </row>
    <row r="46" spans="1:75" ht="16.5" customHeight="1">
      <c r="A46" s="188" t="s">
        <v>131</v>
      </c>
      <c r="B46" s="189" t="s">
        <v>132</v>
      </c>
      <c r="C46" s="190"/>
      <c r="D46" s="190"/>
      <c r="E46" s="190"/>
      <c r="F46" s="191" t="s">
        <v>133</v>
      </c>
      <c r="G46" s="192"/>
      <c r="H46" s="193"/>
      <c r="AR46" s="44">
        <v>283</v>
      </c>
      <c r="AS46" s="27">
        <f>AS45</f>
        <v>416</v>
      </c>
      <c r="AT46" s="5">
        <f>AT45</f>
        <v>2034</v>
      </c>
      <c r="AU46" s="5"/>
      <c r="AV46" s="5"/>
      <c r="AW46" s="5"/>
      <c r="AX46" s="5"/>
      <c r="AY46" s="5"/>
      <c r="AZ46" s="5"/>
      <c r="BA46" s="5"/>
      <c r="BB46" s="29"/>
      <c r="BC46" s="27">
        <v>1</v>
      </c>
      <c r="BD46" s="5">
        <v>1</v>
      </c>
      <c r="BE46" s="5">
        <v>1</v>
      </c>
      <c r="BF46" s="29">
        <v>1</v>
      </c>
      <c r="BG46" s="27">
        <v>100</v>
      </c>
      <c r="BH46" s="5" t="s">
        <v>130</v>
      </c>
      <c r="BI46" s="29" t="s">
        <v>38</v>
      </c>
      <c r="BJ46" s="44">
        <v>0</v>
      </c>
    </row>
    <row r="47" spans="1:75" ht="17.25" customHeight="1" thickBot="1">
      <c r="A47" s="194"/>
      <c r="B47" s="195"/>
      <c r="C47" s="196"/>
      <c r="D47" s="196"/>
      <c r="E47" s="196"/>
      <c r="F47" s="197"/>
      <c r="G47" s="198"/>
      <c r="H47" s="199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R47" s="44">
        <v>279</v>
      </c>
      <c r="AS47" s="27">
        <f>BQ30</f>
        <v>240</v>
      </c>
      <c r="AT47" s="5">
        <f>AT46</f>
        <v>2034</v>
      </c>
      <c r="AU47" s="5">
        <f>BR30</f>
        <v>452</v>
      </c>
      <c r="AV47" s="5">
        <f>AT46</f>
        <v>2034</v>
      </c>
      <c r="AW47" s="5"/>
      <c r="AX47" s="5"/>
      <c r="AY47" s="5"/>
      <c r="AZ47" s="5"/>
      <c r="BA47" s="5"/>
      <c r="BB47" s="29"/>
      <c r="BC47" s="27">
        <v>1</v>
      </c>
      <c r="BD47" s="5">
        <v>1</v>
      </c>
      <c r="BE47" s="5">
        <v>0</v>
      </c>
      <c r="BF47" s="29"/>
      <c r="BG47" s="27">
        <v>240</v>
      </c>
      <c r="BH47" s="5" t="s">
        <v>134</v>
      </c>
      <c r="BI47" s="29" t="s">
        <v>38</v>
      </c>
      <c r="BJ47" s="44">
        <v>0</v>
      </c>
    </row>
    <row r="48" spans="1:75" ht="16.5" customHeight="1">
      <c r="A48" s="188" t="s">
        <v>135</v>
      </c>
      <c r="B48" s="200"/>
      <c r="C48" s="201"/>
      <c r="D48" s="202" t="s">
        <v>136</v>
      </c>
      <c r="E48" s="203"/>
      <c r="F48" s="204" t="s">
        <v>137</v>
      </c>
      <c r="G48" s="205" t="s">
        <v>138</v>
      </c>
      <c r="H48" s="206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R48" s="44">
        <v>276</v>
      </c>
      <c r="AS48" s="27">
        <f>BQ15</f>
        <v>416</v>
      </c>
      <c r="AT48" s="5">
        <f>AT47</f>
        <v>2034</v>
      </c>
      <c r="AU48" s="5"/>
      <c r="AV48" s="5"/>
      <c r="AW48" s="5"/>
      <c r="AX48" s="5"/>
      <c r="AY48" s="5"/>
      <c r="AZ48" s="5"/>
      <c r="BA48" s="5"/>
      <c r="BB48" s="29"/>
      <c r="BC48" s="27">
        <v>1</v>
      </c>
      <c r="BD48" s="5">
        <v>1</v>
      </c>
      <c r="BE48" s="5">
        <v>0</v>
      </c>
      <c r="BF48" s="29"/>
      <c r="BG48" s="27">
        <v>100</v>
      </c>
      <c r="BH48" s="5" t="s">
        <v>139</v>
      </c>
      <c r="BI48" s="29" t="s">
        <v>38</v>
      </c>
      <c r="BJ48" s="44">
        <v>0</v>
      </c>
    </row>
    <row r="49" spans="1:67" ht="17.25" customHeight="1" thickBot="1">
      <c r="A49" s="194"/>
      <c r="B49" s="207"/>
      <c r="C49" s="208"/>
      <c r="D49" s="209"/>
      <c r="E49" s="210"/>
      <c r="F49" s="211"/>
      <c r="G49" s="212"/>
      <c r="H49" s="213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R49" s="44">
        <v>277</v>
      </c>
      <c r="AS49" s="27">
        <f>AS48</f>
        <v>416</v>
      </c>
      <c r="AT49" s="5">
        <f>AT48</f>
        <v>2034</v>
      </c>
      <c r="AU49" s="5"/>
      <c r="AV49" s="5"/>
      <c r="AW49" s="5"/>
      <c r="AX49" s="5"/>
      <c r="AY49" s="5"/>
      <c r="AZ49" s="5"/>
      <c r="BA49" s="5"/>
      <c r="BB49" s="29"/>
      <c r="BC49" s="27">
        <v>1</v>
      </c>
      <c r="BD49" s="5">
        <v>1</v>
      </c>
      <c r="BE49" s="5">
        <v>0</v>
      </c>
      <c r="BF49" s="29"/>
      <c r="BG49" s="27">
        <v>100</v>
      </c>
      <c r="BH49" s="5" t="s">
        <v>140</v>
      </c>
      <c r="BI49" s="29" t="s">
        <v>38</v>
      </c>
      <c r="BJ49" s="44">
        <v>0</v>
      </c>
    </row>
    <row r="50" spans="1:67">
      <c r="A50" s="214"/>
      <c r="B50" s="214"/>
      <c r="C50" s="214"/>
      <c r="D50" s="214"/>
      <c r="E50" s="214"/>
      <c r="F50" s="215"/>
      <c r="G50" s="214" t="s">
        <v>141</v>
      </c>
      <c r="H50" s="214"/>
      <c r="AR50" s="44">
        <v>289</v>
      </c>
      <c r="AS50" s="27">
        <f>BQ17</f>
        <v>240</v>
      </c>
      <c r="AT50" s="5">
        <f>AT48</f>
        <v>2034</v>
      </c>
      <c r="AU50" s="5">
        <f>BR17</f>
        <v>592</v>
      </c>
      <c r="AV50" s="5">
        <f>AT50</f>
        <v>2034</v>
      </c>
      <c r="AW50" s="5"/>
      <c r="AX50" s="5"/>
      <c r="AY50" s="5"/>
      <c r="AZ50" s="5"/>
      <c r="BA50" s="5"/>
      <c r="BB50" s="29"/>
      <c r="BC50" s="27">
        <v>1</v>
      </c>
      <c r="BD50" s="5">
        <v>0</v>
      </c>
      <c r="BE50" s="5">
        <v>0</v>
      </c>
      <c r="BF50" s="29"/>
      <c r="BG50" s="27">
        <v>100</v>
      </c>
      <c r="BH50" s="5" t="s">
        <v>142</v>
      </c>
      <c r="BI50" s="29" t="s">
        <v>38</v>
      </c>
      <c r="BJ50" s="44">
        <v>0</v>
      </c>
    </row>
    <row r="51" spans="1:67">
      <c r="AR51" s="44">
        <v>286</v>
      </c>
      <c r="AS51" s="27">
        <f>BQ31</f>
        <v>98</v>
      </c>
      <c r="AT51" s="5">
        <f>BU31</f>
        <v>1264</v>
      </c>
      <c r="AU51" s="5">
        <f>BR31</f>
        <v>240</v>
      </c>
      <c r="AV51" s="5">
        <f>BT31</f>
        <v>420</v>
      </c>
      <c r="AW51" s="5">
        <f>BS31</f>
        <v>340</v>
      </c>
      <c r="AX51" s="5">
        <f>BT31</f>
        <v>420</v>
      </c>
      <c r="AY51" s="5">
        <f>BQ32</f>
        <v>680</v>
      </c>
      <c r="AZ51" s="5">
        <f>BT31</f>
        <v>420</v>
      </c>
      <c r="BA51" s="5">
        <f>BR32</f>
        <v>580</v>
      </c>
      <c r="BB51" s="29">
        <f>BT31</f>
        <v>420</v>
      </c>
      <c r="BC51" s="27">
        <v>0</v>
      </c>
      <c r="BD51" s="5">
        <v>0</v>
      </c>
      <c r="BE51" s="5">
        <v>0</v>
      </c>
      <c r="BF51" s="29"/>
      <c r="BG51" s="27"/>
      <c r="BH51" s="5" t="s">
        <v>143</v>
      </c>
      <c r="BI51" s="29" t="str">
        <f>"키높이"&amp;ROUND(AV51*2+140,-1)&amp;"~"&amp;ROUND((AV51*3)-270,-1)</f>
        <v>키높이980~990</v>
      </c>
      <c r="BJ51" s="44">
        <v>1</v>
      </c>
      <c r="BN51" s="3" t="s">
        <v>144</v>
      </c>
    </row>
    <row r="52" spans="1:67">
      <c r="AR52" s="44">
        <v>290</v>
      </c>
      <c r="AS52" s="27">
        <f>BQ17</f>
        <v>240</v>
      </c>
      <c r="AT52" s="5">
        <f>BT11</f>
        <v>2034</v>
      </c>
      <c r="AU52" s="5">
        <f>BR17</f>
        <v>592</v>
      </c>
      <c r="AV52" s="5">
        <f>BT11</f>
        <v>2034</v>
      </c>
      <c r="AW52" s="5"/>
      <c r="AX52" s="5"/>
      <c r="AY52" s="5"/>
      <c r="AZ52" s="5"/>
      <c r="BA52" s="5"/>
      <c r="BB52" s="29"/>
      <c r="BC52" s="27">
        <v>1</v>
      </c>
      <c r="BD52" s="5"/>
      <c r="BE52" s="5"/>
      <c r="BF52" s="29"/>
      <c r="BG52" s="27">
        <v>100</v>
      </c>
      <c r="BH52" s="5" t="s">
        <v>145</v>
      </c>
      <c r="BI52" s="29" t="s">
        <v>38</v>
      </c>
      <c r="BJ52" s="44">
        <v>0</v>
      </c>
    </row>
    <row r="53" spans="1:67">
      <c r="AR53" s="44">
        <v>291</v>
      </c>
      <c r="AS53" s="27">
        <f>BQ12</f>
        <v>240</v>
      </c>
      <c r="AT53" s="5">
        <f>BT11</f>
        <v>2034</v>
      </c>
      <c r="AU53" s="5">
        <f>BR12</f>
        <v>680</v>
      </c>
      <c r="AV53" s="5">
        <f>BT15</f>
        <v>406</v>
      </c>
      <c r="AW53" s="5">
        <f>BQ11</f>
        <v>922</v>
      </c>
      <c r="AX53" s="5">
        <f>BT11</f>
        <v>2034</v>
      </c>
      <c r="AY53" s="5"/>
      <c r="AZ53" s="5"/>
      <c r="BA53" s="5"/>
      <c r="BB53" s="29"/>
      <c r="BC53" s="27">
        <v>0</v>
      </c>
      <c r="BD53" s="5">
        <v>0</v>
      </c>
      <c r="BE53" s="5">
        <v>0</v>
      </c>
      <c r="BF53" s="29">
        <v>0</v>
      </c>
      <c r="BG53" s="27"/>
      <c r="BH53" s="5" t="s">
        <v>146</v>
      </c>
      <c r="BI53" s="29" t="s">
        <v>38</v>
      </c>
      <c r="BJ53" s="44">
        <v>0</v>
      </c>
    </row>
    <row r="54" spans="1:67">
      <c r="AR54" s="44">
        <v>292</v>
      </c>
      <c r="AS54" s="27">
        <f t="shared" ref="AS54:AX54" si="1">AS53</f>
        <v>240</v>
      </c>
      <c r="AT54" s="5">
        <f t="shared" si="1"/>
        <v>2034</v>
      </c>
      <c r="AU54" s="5">
        <f t="shared" si="1"/>
        <v>680</v>
      </c>
      <c r="AV54" s="5">
        <f t="shared" si="1"/>
        <v>406</v>
      </c>
      <c r="AW54" s="5">
        <f t="shared" si="1"/>
        <v>922</v>
      </c>
      <c r="AX54" s="5">
        <f t="shared" si="1"/>
        <v>2034</v>
      </c>
      <c r="AY54" s="5"/>
      <c r="AZ54" s="5"/>
      <c r="BA54" s="5"/>
      <c r="BB54" s="29"/>
      <c r="BC54" s="27">
        <v>0</v>
      </c>
      <c r="BD54" s="5">
        <v>0</v>
      </c>
      <c r="BE54" s="5">
        <v>0</v>
      </c>
      <c r="BF54" s="29">
        <v>0</v>
      </c>
      <c r="BG54" s="27"/>
      <c r="BH54" s="5" t="s">
        <v>147</v>
      </c>
      <c r="BI54" s="29" t="s">
        <v>38</v>
      </c>
      <c r="BJ54" s="44">
        <v>0</v>
      </c>
    </row>
    <row r="55" spans="1:67">
      <c r="AR55" s="44">
        <v>288</v>
      </c>
      <c r="AS55" s="27">
        <f>BQ11</f>
        <v>922</v>
      </c>
      <c r="AT55" s="5">
        <f>BT11</f>
        <v>2034</v>
      </c>
      <c r="AU55" s="5"/>
      <c r="AV55" s="5"/>
      <c r="AW55" s="5"/>
      <c r="AX55" s="5"/>
      <c r="AY55" s="5"/>
      <c r="AZ55" s="5"/>
      <c r="BA55" s="5"/>
      <c r="BB55" s="29"/>
      <c r="BC55" s="27">
        <v>1</v>
      </c>
      <c r="BD55" s="5">
        <v>0</v>
      </c>
      <c r="BE55" s="5">
        <v>0</v>
      </c>
      <c r="BF55" s="29">
        <v>0</v>
      </c>
      <c r="BG55" s="27"/>
      <c r="BH55" s="5" t="s">
        <v>148</v>
      </c>
      <c r="BI55" s="29" t="s">
        <v>38</v>
      </c>
      <c r="BJ55" s="44">
        <v>0</v>
      </c>
    </row>
    <row r="56" spans="1:67">
      <c r="AR56" s="44">
        <v>285</v>
      </c>
      <c r="AS56" s="27">
        <f>BQ11</f>
        <v>922</v>
      </c>
      <c r="AT56" s="5">
        <f>BT11</f>
        <v>2034</v>
      </c>
      <c r="AU56" s="5"/>
      <c r="AV56" s="5"/>
      <c r="AW56" s="5"/>
      <c r="AX56" s="5"/>
      <c r="AY56" s="5" t="s">
        <v>16</v>
      </c>
      <c r="AZ56" s="5"/>
      <c r="BA56" s="5">
        <v>110</v>
      </c>
      <c r="BB56" s="29">
        <v>1650</v>
      </c>
      <c r="BC56" s="27">
        <v>0</v>
      </c>
      <c r="BD56" s="5">
        <v>0</v>
      </c>
      <c r="BE56" s="5">
        <v>0</v>
      </c>
      <c r="BF56" s="29">
        <v>0</v>
      </c>
      <c r="BG56" s="27"/>
      <c r="BH56" s="5" t="s">
        <v>149</v>
      </c>
      <c r="BI56" s="29" t="s">
        <v>38</v>
      </c>
      <c r="BJ56" s="44">
        <v>0</v>
      </c>
    </row>
    <row r="57" spans="1:67">
      <c r="AR57" s="44">
        <v>295</v>
      </c>
      <c r="AS57" s="27">
        <f>BQ33</f>
        <v>200</v>
      </c>
      <c r="AT57" s="5">
        <f>BT33</f>
        <v>2034</v>
      </c>
      <c r="AU57" s="5">
        <f>BR33</f>
        <v>662</v>
      </c>
      <c r="AV57" s="5">
        <f>BT33</f>
        <v>2034</v>
      </c>
      <c r="AW57" s="5"/>
      <c r="AX57" s="5"/>
      <c r="AY57" s="5"/>
      <c r="AZ57" s="5"/>
      <c r="BA57" s="5"/>
      <c r="BB57" s="29"/>
      <c r="BC57" s="27">
        <v>1</v>
      </c>
      <c r="BD57" s="5">
        <v>0</v>
      </c>
      <c r="BE57" s="5">
        <v>0</v>
      </c>
      <c r="BF57" s="5">
        <v>0</v>
      </c>
      <c r="BG57" s="29">
        <v>70</v>
      </c>
      <c r="BH57" s="27" t="s">
        <v>150</v>
      </c>
      <c r="BI57" s="29" t="s">
        <v>38</v>
      </c>
      <c r="BJ57" s="44">
        <v>0</v>
      </c>
    </row>
    <row r="58" spans="1:67">
      <c r="AR58" s="44">
        <v>308</v>
      </c>
      <c r="AS58" s="27">
        <f>BQ34</f>
        <v>180</v>
      </c>
      <c r="AT58" s="5">
        <f>BT34</f>
        <v>2034</v>
      </c>
      <c r="AU58" s="5">
        <f>BR34</f>
        <v>652</v>
      </c>
      <c r="AV58" s="5">
        <f>BT34</f>
        <v>2034</v>
      </c>
      <c r="AW58" s="5">
        <f>BS34</f>
        <v>470</v>
      </c>
      <c r="AX58" s="5">
        <f>BT34</f>
        <v>2034</v>
      </c>
      <c r="AY58" s="5"/>
      <c r="AZ58" s="5"/>
      <c r="BA58" s="5"/>
      <c r="BB58" s="29"/>
      <c r="BC58" s="27">
        <v>1</v>
      </c>
      <c r="BD58" s="5">
        <v>0</v>
      </c>
      <c r="BE58" s="5">
        <v>1</v>
      </c>
      <c r="BF58" s="5">
        <v>0</v>
      </c>
      <c r="BG58" s="29">
        <v>100</v>
      </c>
      <c r="BH58" s="27" t="s">
        <v>151</v>
      </c>
      <c r="BI58" s="29" t="s">
        <v>38</v>
      </c>
      <c r="BJ58" s="44">
        <v>0</v>
      </c>
    </row>
    <row r="59" spans="1:67">
      <c r="AR59" s="44">
        <v>297</v>
      </c>
      <c r="AS59" s="27">
        <f>BQ22</f>
        <v>240</v>
      </c>
      <c r="AT59" s="5">
        <f>BU35</f>
        <v>2034</v>
      </c>
      <c r="AU59" s="5">
        <f>BR35</f>
        <v>680</v>
      </c>
      <c r="AV59" s="5">
        <f>BT35</f>
        <v>677</v>
      </c>
      <c r="AW59" s="5">
        <f>BS35</f>
        <v>922</v>
      </c>
      <c r="AX59" s="5">
        <f>BU35</f>
        <v>2034</v>
      </c>
      <c r="AY59" s="5"/>
      <c r="AZ59" s="5"/>
      <c r="BA59" s="5"/>
      <c r="BB59" s="29"/>
      <c r="BC59" s="27">
        <v>0</v>
      </c>
      <c r="BD59" s="5">
        <v>0</v>
      </c>
      <c r="BE59" s="5">
        <v>0</v>
      </c>
      <c r="BF59" s="5">
        <v>0</v>
      </c>
      <c r="BG59" s="29"/>
      <c r="BH59" s="27" t="s">
        <v>152</v>
      </c>
      <c r="BI59" s="29" t="s">
        <v>38</v>
      </c>
      <c r="BJ59" s="44">
        <v>0</v>
      </c>
    </row>
    <row r="60" spans="1:67">
      <c r="AR60" s="44">
        <v>296</v>
      </c>
      <c r="AS60" s="27">
        <f t="shared" ref="AS60:AX60" si="2">AS59</f>
        <v>240</v>
      </c>
      <c r="AT60" s="5">
        <f t="shared" si="2"/>
        <v>2034</v>
      </c>
      <c r="AU60" s="5">
        <f t="shared" si="2"/>
        <v>680</v>
      </c>
      <c r="AV60" s="5">
        <f t="shared" si="2"/>
        <v>677</v>
      </c>
      <c r="AW60" s="5">
        <f t="shared" si="2"/>
        <v>922</v>
      </c>
      <c r="AX60" s="5">
        <f t="shared" si="2"/>
        <v>2034</v>
      </c>
      <c r="AY60" s="5"/>
      <c r="AZ60" s="5"/>
      <c r="BA60" s="5"/>
      <c r="BB60" s="29"/>
      <c r="BC60" s="27">
        <f>BC59</f>
        <v>0</v>
      </c>
      <c r="BD60" s="5">
        <v>0</v>
      </c>
      <c r="BE60" s="5">
        <v>0</v>
      </c>
      <c r="BF60" s="5">
        <v>0</v>
      </c>
      <c r="BG60" s="29"/>
      <c r="BH60" s="27" t="s">
        <v>153</v>
      </c>
      <c r="BI60" s="29" t="s">
        <v>38</v>
      </c>
      <c r="BJ60" s="44">
        <v>0</v>
      </c>
    </row>
    <row r="61" spans="1:67">
      <c r="AR61" s="44">
        <v>300</v>
      </c>
      <c r="AS61" s="27">
        <f>BQ36</f>
        <v>922</v>
      </c>
      <c r="AT61" s="5">
        <f>BT36</f>
        <v>240</v>
      </c>
      <c r="AU61" s="5">
        <f>BS36</f>
        <v>720</v>
      </c>
      <c r="AV61" s="5">
        <f>BV36</f>
        <v>1792</v>
      </c>
      <c r="AW61" s="5">
        <f>BR36</f>
        <v>200</v>
      </c>
      <c r="AX61" s="5">
        <f>BV36</f>
        <v>1792</v>
      </c>
      <c r="AY61" s="5">
        <f>BQ36</f>
        <v>922</v>
      </c>
      <c r="AZ61" s="5">
        <f>BU36</f>
        <v>2034</v>
      </c>
      <c r="BA61" s="5"/>
      <c r="BB61" s="29"/>
      <c r="BC61" s="27">
        <v>0</v>
      </c>
      <c r="BD61" s="5">
        <v>0</v>
      </c>
      <c r="BE61" s="5">
        <v>0</v>
      </c>
      <c r="BF61" s="5">
        <v>0</v>
      </c>
      <c r="BG61" s="29"/>
      <c r="BH61" s="27" t="s">
        <v>154</v>
      </c>
      <c r="BI61" s="29" t="s">
        <v>38</v>
      </c>
      <c r="BJ61" s="44">
        <v>0</v>
      </c>
    </row>
    <row r="62" spans="1:67" ht="17.25" thickBot="1">
      <c r="AR62" s="44">
        <v>299</v>
      </c>
      <c r="AS62" s="27">
        <f t="shared" ref="AS62:AZ62" si="3">AS61</f>
        <v>922</v>
      </c>
      <c r="AT62" s="5">
        <f t="shared" si="3"/>
        <v>240</v>
      </c>
      <c r="AU62" s="5">
        <f t="shared" si="3"/>
        <v>720</v>
      </c>
      <c r="AV62" s="5">
        <f t="shared" si="3"/>
        <v>1792</v>
      </c>
      <c r="AW62" s="5">
        <f t="shared" si="3"/>
        <v>200</v>
      </c>
      <c r="AX62" s="5">
        <f t="shared" si="3"/>
        <v>1792</v>
      </c>
      <c r="AY62" s="5">
        <f t="shared" si="3"/>
        <v>922</v>
      </c>
      <c r="AZ62" s="5">
        <f t="shared" si="3"/>
        <v>2034</v>
      </c>
      <c r="BA62" s="5"/>
      <c r="BB62" s="29"/>
      <c r="BC62" s="27">
        <v>0</v>
      </c>
      <c r="BD62" s="5">
        <v>0</v>
      </c>
      <c r="BE62" s="5">
        <v>0</v>
      </c>
      <c r="BF62" s="5">
        <v>0</v>
      </c>
      <c r="BG62" s="29"/>
      <c r="BH62" s="27" t="s">
        <v>155</v>
      </c>
      <c r="BI62" s="29" t="s">
        <v>38</v>
      </c>
      <c r="BJ62" s="44">
        <v>0</v>
      </c>
    </row>
    <row r="63" spans="1:67">
      <c r="AR63" s="216">
        <v>303</v>
      </c>
      <c r="AS63" s="217">
        <f>BQ37</f>
        <v>922</v>
      </c>
      <c r="AT63" s="218">
        <f>BT37</f>
        <v>677</v>
      </c>
      <c r="AU63" s="218"/>
      <c r="AV63" s="218"/>
      <c r="AW63" s="218"/>
      <c r="AX63" s="218"/>
      <c r="AY63" s="218"/>
      <c r="AZ63" s="218"/>
      <c r="BA63" s="218">
        <f>BA28</f>
        <v>922</v>
      </c>
      <c r="BB63" s="219">
        <f>BB28</f>
        <v>2034</v>
      </c>
      <c r="BC63" s="217">
        <v>0</v>
      </c>
      <c r="BD63" s="218">
        <v>0</v>
      </c>
      <c r="BE63" s="218">
        <v>0</v>
      </c>
      <c r="BF63" s="218">
        <v>0</v>
      </c>
      <c r="BG63" s="219"/>
      <c r="BH63" s="217" t="s">
        <v>156</v>
      </c>
      <c r="BI63" s="220" t="str">
        <f>"키높이"&amp;ROUND(AT63+140,-1)&amp;"~"&amp;ROUND((AT63*2)-300,-1)</f>
        <v>키높이820~1050</v>
      </c>
      <c r="BJ63" s="216">
        <v>1</v>
      </c>
      <c r="BK63" s="221">
        <f>IF(C5-C6&lt;2150,900,1000)</f>
        <v>1000</v>
      </c>
      <c r="BL63" s="221">
        <f>BK63</f>
        <v>1000</v>
      </c>
      <c r="BM63" s="221">
        <f>BL63</f>
        <v>1000</v>
      </c>
      <c r="BN63" s="221">
        <f>BM63</f>
        <v>1000</v>
      </c>
      <c r="BO63" s="221"/>
    </row>
    <row r="64" spans="1:67" ht="17.25" thickBot="1">
      <c r="AR64" s="44">
        <v>312</v>
      </c>
      <c r="AS64" s="27">
        <f>BQ38</f>
        <v>240</v>
      </c>
      <c r="AT64" s="5">
        <f>BT38</f>
        <v>2034</v>
      </c>
      <c r="AU64" s="5">
        <f>BR38</f>
        <v>680</v>
      </c>
      <c r="AV64" s="5">
        <f>BT38</f>
        <v>2034</v>
      </c>
      <c r="AW64" s="5">
        <f>BS38</f>
        <v>922</v>
      </c>
      <c r="AX64" s="5">
        <f>BT38</f>
        <v>2034</v>
      </c>
      <c r="AY64" s="5"/>
      <c r="AZ64" s="5"/>
      <c r="BA64" s="5"/>
      <c r="BB64" s="29"/>
      <c r="BC64" s="27">
        <v>0</v>
      </c>
      <c r="BD64" s="5">
        <v>0</v>
      </c>
      <c r="BE64" s="5">
        <v>0</v>
      </c>
      <c r="BF64" s="5">
        <v>0</v>
      </c>
      <c r="BG64" s="29"/>
      <c r="BH64" s="27" t="s">
        <v>157</v>
      </c>
      <c r="BI64" s="29" t="s">
        <v>38</v>
      </c>
      <c r="BJ64" s="44">
        <v>0</v>
      </c>
    </row>
    <row r="65" spans="44:66">
      <c r="AR65" s="222">
        <v>307</v>
      </c>
      <c r="AS65" s="223">
        <f>AS72</f>
        <v>922</v>
      </c>
      <c r="AT65" s="224">
        <f>AT72</f>
        <v>2034</v>
      </c>
      <c r="AU65" s="224">
        <f t="shared" ref="AU65:AZ65" si="4">AU72</f>
        <v>922</v>
      </c>
      <c r="AV65" s="224">
        <f t="shared" si="4"/>
        <v>765.5</v>
      </c>
      <c r="AW65" s="224">
        <f t="shared" si="4"/>
        <v>922</v>
      </c>
      <c r="AX65" s="224">
        <f t="shared" si="4"/>
        <v>500</v>
      </c>
      <c r="AY65" s="224">
        <f t="shared" si="4"/>
        <v>922</v>
      </c>
      <c r="AZ65" s="224">
        <f t="shared" si="4"/>
        <v>765.5</v>
      </c>
      <c r="BA65" s="224"/>
      <c r="BB65" s="224"/>
      <c r="BC65" s="223">
        <v>0</v>
      </c>
      <c r="BD65" s="224">
        <v>0</v>
      </c>
      <c r="BE65" s="224">
        <v>0</v>
      </c>
      <c r="BF65" s="224">
        <v>0</v>
      </c>
      <c r="BG65" s="225"/>
      <c r="BH65" s="223" t="s">
        <v>158</v>
      </c>
      <c r="BI65" s="226"/>
      <c r="BJ65" s="44">
        <v>1</v>
      </c>
      <c r="BK65" s="3">
        <f>BK72</f>
        <v>970</v>
      </c>
      <c r="BL65" s="3">
        <f>BL72</f>
        <v>950</v>
      </c>
      <c r="BM65" s="3">
        <f>BM72</f>
        <v>960</v>
      </c>
      <c r="BN65" s="3">
        <f>BN72</f>
        <v>920</v>
      </c>
    </row>
    <row r="66" spans="44:66">
      <c r="AR66" s="44">
        <v>301</v>
      </c>
      <c r="AS66" s="27">
        <f>BQ40</f>
        <v>922</v>
      </c>
      <c r="AT66" s="5">
        <f>BV40</f>
        <v>532</v>
      </c>
      <c r="AU66" s="5">
        <f>BR40</f>
        <v>240</v>
      </c>
      <c r="AV66" s="5">
        <f>BT40</f>
        <v>1500</v>
      </c>
      <c r="AW66" s="5">
        <f>BS40</f>
        <v>680</v>
      </c>
      <c r="AX66" s="5">
        <f>BT40</f>
        <v>1500</v>
      </c>
      <c r="AY66" s="5">
        <f>BQ40</f>
        <v>922</v>
      </c>
      <c r="AZ66" s="5">
        <f>BV39</f>
        <v>2034</v>
      </c>
      <c r="BA66" s="5"/>
      <c r="BB66" s="29"/>
      <c r="BC66" s="89">
        <v>0</v>
      </c>
      <c r="BD66" s="90">
        <v>0</v>
      </c>
      <c r="BE66" s="90">
        <v>0</v>
      </c>
      <c r="BF66" s="90">
        <v>0</v>
      </c>
      <c r="BG66" s="29"/>
      <c r="BH66" s="27" t="s">
        <v>159</v>
      </c>
      <c r="BI66" s="29" t="s">
        <v>38</v>
      </c>
      <c r="BJ66" s="44">
        <v>0</v>
      </c>
    </row>
    <row r="67" spans="44:66" ht="17.25" thickBot="1">
      <c r="AR67" s="227"/>
      <c r="AS67" s="61"/>
      <c r="AT67" s="9"/>
      <c r="AU67" s="9"/>
      <c r="AV67" s="9"/>
      <c r="AW67" s="9"/>
      <c r="AX67" s="9"/>
      <c r="AY67" s="9"/>
      <c r="AZ67" s="9"/>
      <c r="BA67" s="9"/>
      <c r="BB67" s="63"/>
      <c r="BC67" s="61"/>
      <c r="BD67" s="9"/>
      <c r="BE67" s="9"/>
      <c r="BF67" s="63"/>
      <c r="BG67" s="61"/>
      <c r="BH67" s="9"/>
      <c r="BI67" s="63"/>
      <c r="BJ67" s="227">
        <v>0</v>
      </c>
    </row>
    <row r="68" spans="44:66">
      <c r="AR68" s="21">
        <v>901</v>
      </c>
      <c r="AS68" s="56">
        <f>BQ11</f>
        <v>922</v>
      </c>
      <c r="AT68" s="42">
        <f>BT11</f>
        <v>2034</v>
      </c>
      <c r="AU68" s="42">
        <f>BQ12</f>
        <v>240</v>
      </c>
      <c r="AV68" s="42">
        <f>BT11</f>
        <v>2034</v>
      </c>
      <c r="AW68" s="42">
        <f>BR12</f>
        <v>680</v>
      </c>
      <c r="AX68" s="42">
        <f>BT14</f>
        <v>507</v>
      </c>
      <c r="AY68" s="42"/>
      <c r="AZ68" s="42"/>
      <c r="BA68" s="42"/>
      <c r="BB68" s="43"/>
      <c r="BC68" s="56">
        <v>0</v>
      </c>
      <c r="BD68" s="42">
        <v>0</v>
      </c>
      <c r="BE68" s="42">
        <v>0</v>
      </c>
      <c r="BF68" s="43">
        <v>0</v>
      </c>
      <c r="BG68" s="56"/>
      <c r="BH68" s="42"/>
      <c r="BI68" s="43"/>
      <c r="BJ68" s="21">
        <v>0</v>
      </c>
      <c r="BK68" s="148"/>
      <c r="BL68" s="148"/>
      <c r="BM68" s="148"/>
      <c r="BN68" s="149"/>
    </row>
    <row r="69" spans="44:66">
      <c r="AR69" s="44">
        <v>902</v>
      </c>
      <c r="AS69" s="27">
        <f t="shared" ref="AS69:AX80" si="5">AS68</f>
        <v>922</v>
      </c>
      <c r="AT69" s="5">
        <f t="shared" si="5"/>
        <v>2034</v>
      </c>
      <c r="AU69" s="5">
        <f t="shared" si="5"/>
        <v>240</v>
      </c>
      <c r="AV69" s="5">
        <f t="shared" si="5"/>
        <v>2034</v>
      </c>
      <c r="AW69" s="5">
        <f t="shared" si="5"/>
        <v>680</v>
      </c>
      <c r="AX69" s="5">
        <f t="shared" si="5"/>
        <v>507</v>
      </c>
      <c r="AY69" s="5"/>
      <c r="AZ69" s="5"/>
      <c r="BA69" s="5"/>
      <c r="BB69" s="29"/>
      <c r="BC69" s="27">
        <v>0</v>
      </c>
      <c r="BD69" s="5">
        <v>0</v>
      </c>
      <c r="BE69" s="5">
        <v>0</v>
      </c>
      <c r="BF69" s="29">
        <v>0</v>
      </c>
      <c r="BG69" s="27"/>
      <c r="BH69" s="5"/>
      <c r="BI69" s="29"/>
      <c r="BJ69" s="44">
        <v>0</v>
      </c>
      <c r="BN69" s="154"/>
    </row>
    <row r="70" spans="44:66">
      <c r="AR70" s="44">
        <v>903</v>
      </c>
      <c r="AS70" s="27">
        <f t="shared" si="5"/>
        <v>922</v>
      </c>
      <c r="AT70" s="5">
        <f t="shared" si="5"/>
        <v>2034</v>
      </c>
      <c r="AU70" s="5">
        <f t="shared" si="5"/>
        <v>240</v>
      </c>
      <c r="AV70" s="5">
        <f t="shared" si="5"/>
        <v>2034</v>
      </c>
      <c r="AW70" s="5">
        <f t="shared" si="5"/>
        <v>680</v>
      </c>
      <c r="AX70" s="5">
        <f t="shared" si="5"/>
        <v>507</v>
      </c>
      <c r="AY70" s="5"/>
      <c r="AZ70" s="5"/>
      <c r="BA70" s="5"/>
      <c r="BB70" s="29"/>
      <c r="BC70" s="27">
        <v>0</v>
      </c>
      <c r="BD70" s="5">
        <v>0</v>
      </c>
      <c r="BE70" s="5">
        <v>0</v>
      </c>
      <c r="BF70" s="29">
        <v>0</v>
      </c>
      <c r="BG70" s="27"/>
      <c r="BH70" s="5"/>
      <c r="BI70" s="29"/>
      <c r="BJ70" s="3">
        <v>0</v>
      </c>
      <c r="BN70" s="154"/>
    </row>
    <row r="71" spans="44:66">
      <c r="AR71" s="44">
        <v>904</v>
      </c>
      <c r="AS71" s="27">
        <f t="shared" si="5"/>
        <v>922</v>
      </c>
      <c r="AT71" s="5">
        <f t="shared" si="5"/>
        <v>2034</v>
      </c>
      <c r="AU71" s="5">
        <f t="shared" si="5"/>
        <v>240</v>
      </c>
      <c r="AV71" s="5">
        <f t="shared" si="5"/>
        <v>2034</v>
      </c>
      <c r="AW71" s="5">
        <f t="shared" si="5"/>
        <v>680</v>
      </c>
      <c r="AX71" s="5">
        <f t="shared" si="5"/>
        <v>507</v>
      </c>
      <c r="AY71" s="5"/>
      <c r="AZ71" s="5"/>
      <c r="BA71" s="5"/>
      <c r="BB71" s="29"/>
      <c r="BC71" s="27">
        <v>0</v>
      </c>
      <c r="BD71" s="5">
        <v>0</v>
      </c>
      <c r="BE71" s="5">
        <v>0</v>
      </c>
      <c r="BF71" s="29">
        <v>0</v>
      </c>
      <c r="BG71" s="27"/>
      <c r="BH71" s="5"/>
      <c r="BI71" s="29"/>
      <c r="BJ71" s="3">
        <v>0</v>
      </c>
      <c r="BN71" s="154"/>
    </row>
    <row r="72" spans="44:66">
      <c r="AR72" s="44">
        <v>905</v>
      </c>
      <c r="AS72" s="27">
        <f>BQ11</f>
        <v>922</v>
      </c>
      <c r="AT72" s="5">
        <f t="shared" si="5"/>
        <v>2034</v>
      </c>
      <c r="AU72" s="5">
        <f>BQ11</f>
        <v>922</v>
      </c>
      <c r="AV72" s="5">
        <f>IF((AT72-AX72-3)/2&lt;820.01,(AT72-AX72-3)/2,820)</f>
        <v>765.5</v>
      </c>
      <c r="AW72" s="5">
        <f>BQ11</f>
        <v>922</v>
      </c>
      <c r="AX72" s="5">
        <v>500</v>
      </c>
      <c r="AY72" s="5">
        <f>BQ11</f>
        <v>922</v>
      </c>
      <c r="AZ72" s="5">
        <f>AT72-AV72-AX72-3</f>
        <v>765.5</v>
      </c>
      <c r="BA72" s="5"/>
      <c r="BB72" s="29"/>
      <c r="BC72" s="27">
        <v>0</v>
      </c>
      <c r="BD72" s="5">
        <v>0</v>
      </c>
      <c r="BE72" s="5">
        <v>0</v>
      </c>
      <c r="BF72" s="29">
        <v>0</v>
      </c>
      <c r="BG72" s="27"/>
      <c r="BH72" s="5"/>
      <c r="BI72" s="29"/>
      <c r="BJ72" s="3">
        <v>1</v>
      </c>
      <c r="BK72" s="3">
        <f>ROUND(MIN(1000,IF(AV72=820,1000,((AV72+5+150)+(AV72+5+AX72-260))/2)),-1)</f>
        <v>970</v>
      </c>
      <c r="BL72" s="3">
        <f>ROUND(MIN(1000,IF(AV72=820,1000,((AV72+5+130)+(AV72+5+AX72-280))/2)),-1)</f>
        <v>950</v>
      </c>
      <c r="BM72" s="3">
        <f>ROUND(MIN(1000,IF(AV72=820,1000,((AV72+5+120)+(AV72+5+AX72-240))/2)),-1)</f>
        <v>960</v>
      </c>
      <c r="BN72" s="154">
        <f>ROUND(MIN(1000,IF(AV72=820,1000,((AV72+5+110)+(AV72+5+AX72-305))/2)),-1)</f>
        <v>920</v>
      </c>
    </row>
    <row r="73" spans="44:66">
      <c r="AR73" s="44">
        <v>906</v>
      </c>
      <c r="AS73" s="27">
        <f t="shared" si="5"/>
        <v>922</v>
      </c>
      <c r="AT73" s="5">
        <f t="shared" si="5"/>
        <v>2034</v>
      </c>
      <c r="AU73" s="228">
        <f>AS73</f>
        <v>922</v>
      </c>
      <c r="AV73" s="229">
        <f>AV72</f>
        <v>765.5</v>
      </c>
      <c r="AW73" s="228">
        <f>AS73</f>
        <v>922</v>
      </c>
      <c r="AX73" s="228">
        <v>500</v>
      </c>
      <c r="AY73" s="228">
        <f>AS73</f>
        <v>922</v>
      </c>
      <c r="AZ73" s="230">
        <f>AZ72</f>
        <v>765.5</v>
      </c>
      <c r="BA73" s="5"/>
      <c r="BB73" s="29"/>
      <c r="BC73" s="27">
        <v>0</v>
      </c>
      <c r="BD73" s="5">
        <v>0</v>
      </c>
      <c r="BE73" s="5">
        <v>0</v>
      </c>
      <c r="BF73" s="29">
        <v>0</v>
      </c>
      <c r="BG73" s="27"/>
      <c r="BH73" s="5"/>
      <c r="BI73" s="29"/>
      <c r="BJ73" s="3">
        <v>1</v>
      </c>
      <c r="BK73" s="3">
        <f t="shared" ref="BK73:BN74" si="6">BK72</f>
        <v>970</v>
      </c>
      <c r="BL73" s="3">
        <f t="shared" si="6"/>
        <v>950</v>
      </c>
      <c r="BM73" s="3">
        <f t="shared" si="6"/>
        <v>960</v>
      </c>
      <c r="BN73" s="154">
        <f t="shared" si="6"/>
        <v>920</v>
      </c>
    </row>
    <row r="74" spans="44:66">
      <c r="AR74" s="44">
        <v>907</v>
      </c>
      <c r="AS74" s="27">
        <f t="shared" si="5"/>
        <v>922</v>
      </c>
      <c r="AT74" s="5">
        <f t="shared" si="5"/>
        <v>2034</v>
      </c>
      <c r="AU74" s="5">
        <f>AU73</f>
        <v>922</v>
      </c>
      <c r="AV74" s="5">
        <f>AV73</f>
        <v>765.5</v>
      </c>
      <c r="AW74" s="5">
        <f>AW73</f>
        <v>922</v>
      </c>
      <c r="AX74" s="5">
        <f>AX73</f>
        <v>500</v>
      </c>
      <c r="AY74" s="5">
        <f>AY73</f>
        <v>922</v>
      </c>
      <c r="AZ74" s="5">
        <f>AZ72</f>
        <v>765.5</v>
      </c>
      <c r="BA74" s="5"/>
      <c r="BB74" s="29"/>
      <c r="BC74" s="27">
        <v>0</v>
      </c>
      <c r="BD74" s="5">
        <v>0</v>
      </c>
      <c r="BE74" s="5">
        <v>0</v>
      </c>
      <c r="BF74" s="29">
        <v>0</v>
      </c>
      <c r="BG74" s="27"/>
      <c r="BH74" s="5"/>
      <c r="BI74" s="29"/>
      <c r="BJ74" s="3">
        <v>1</v>
      </c>
      <c r="BK74" s="3">
        <f t="shared" si="6"/>
        <v>970</v>
      </c>
      <c r="BL74" s="3">
        <f t="shared" si="6"/>
        <v>950</v>
      </c>
      <c r="BM74" s="3">
        <f t="shared" si="6"/>
        <v>960</v>
      </c>
      <c r="BN74" s="154">
        <f t="shared" si="6"/>
        <v>920</v>
      </c>
    </row>
    <row r="75" spans="44:66">
      <c r="AR75" s="44">
        <v>908</v>
      </c>
      <c r="AS75" s="27">
        <f t="shared" si="5"/>
        <v>922</v>
      </c>
      <c r="AT75" s="5">
        <f t="shared" si="5"/>
        <v>2034</v>
      </c>
      <c r="AU75" s="5"/>
      <c r="AV75" s="5"/>
      <c r="AW75" s="5"/>
      <c r="AX75" s="5"/>
      <c r="AY75" s="5"/>
      <c r="AZ75" s="5"/>
      <c r="BA75" s="5"/>
      <c r="BB75" s="29"/>
      <c r="BC75" s="27">
        <v>0</v>
      </c>
      <c r="BD75" s="5">
        <v>0</v>
      </c>
      <c r="BE75" s="5">
        <v>0</v>
      </c>
      <c r="BF75" s="29">
        <v>0</v>
      </c>
      <c r="BG75" s="27"/>
      <c r="BH75" s="5"/>
      <c r="BI75" s="29"/>
      <c r="BJ75" s="3">
        <v>0</v>
      </c>
      <c r="BN75" s="154"/>
    </row>
    <row r="76" spans="44:66">
      <c r="AR76" s="44">
        <v>909</v>
      </c>
      <c r="AS76" s="27">
        <f t="shared" si="5"/>
        <v>922</v>
      </c>
      <c r="AT76" s="5">
        <f t="shared" si="5"/>
        <v>2034</v>
      </c>
      <c r="AU76" s="5"/>
      <c r="AV76" s="5"/>
      <c r="AW76" s="5"/>
      <c r="AX76" s="5"/>
      <c r="AY76" s="5"/>
      <c r="AZ76" s="5"/>
      <c r="BA76" s="5"/>
      <c r="BB76" s="29"/>
      <c r="BC76" s="27">
        <v>0</v>
      </c>
      <c r="BD76" s="5">
        <v>0</v>
      </c>
      <c r="BE76" s="5">
        <v>0</v>
      </c>
      <c r="BF76" s="29">
        <v>0</v>
      </c>
      <c r="BG76" s="27"/>
      <c r="BH76" s="5"/>
      <c r="BI76" s="29"/>
      <c r="BJ76" s="3">
        <v>0</v>
      </c>
      <c r="BN76" s="154"/>
    </row>
    <row r="77" spans="44:66">
      <c r="AR77" s="44">
        <v>910</v>
      </c>
      <c r="AS77" s="27">
        <f>BQ17</f>
        <v>240</v>
      </c>
      <c r="AT77" s="5">
        <f t="shared" si="5"/>
        <v>2034</v>
      </c>
      <c r="AU77" s="5">
        <f>BR12</f>
        <v>680</v>
      </c>
      <c r="AV77" s="5">
        <f>AT77</f>
        <v>2034</v>
      </c>
      <c r="AW77" s="5"/>
      <c r="AX77" s="5"/>
      <c r="AY77" s="5"/>
      <c r="AZ77" s="5"/>
      <c r="BA77" s="5">
        <f>BQ11</f>
        <v>922</v>
      </c>
      <c r="BB77" s="29">
        <f>BT11</f>
        <v>2034</v>
      </c>
      <c r="BC77" s="27">
        <v>0</v>
      </c>
      <c r="BD77" s="5">
        <v>0</v>
      </c>
      <c r="BE77" s="5">
        <v>0</v>
      </c>
      <c r="BF77" s="29">
        <v>0</v>
      </c>
      <c r="BG77" s="27"/>
      <c r="BH77" s="5"/>
      <c r="BI77" s="29"/>
      <c r="BJ77" s="3">
        <v>0</v>
      </c>
      <c r="BN77" s="154"/>
    </row>
    <row r="78" spans="44:66">
      <c r="AR78" s="44">
        <v>911</v>
      </c>
      <c r="AS78" s="27">
        <f>AS77</f>
        <v>240</v>
      </c>
      <c r="AT78" s="5">
        <f t="shared" si="5"/>
        <v>2034</v>
      </c>
      <c r="AU78" s="5">
        <f>AU77</f>
        <v>680</v>
      </c>
      <c r="AV78" s="5">
        <f>AV77</f>
        <v>2034</v>
      </c>
      <c r="AW78" s="5"/>
      <c r="AX78" s="5"/>
      <c r="AY78" s="5"/>
      <c r="AZ78" s="5"/>
      <c r="BA78" s="5">
        <f t="shared" ref="BA78:BB80" si="7">BA77</f>
        <v>922</v>
      </c>
      <c r="BB78" s="29">
        <f t="shared" si="7"/>
        <v>2034</v>
      </c>
      <c r="BC78" s="27">
        <v>0</v>
      </c>
      <c r="BD78" s="5">
        <v>0</v>
      </c>
      <c r="BE78" s="5">
        <v>0</v>
      </c>
      <c r="BF78" s="29">
        <v>0</v>
      </c>
      <c r="BG78" s="27"/>
      <c r="BH78" s="5"/>
      <c r="BI78" s="29"/>
      <c r="BJ78" s="3">
        <v>0</v>
      </c>
      <c r="BN78" s="154"/>
    </row>
    <row r="79" spans="44:66">
      <c r="AR79" s="44">
        <v>912</v>
      </c>
      <c r="AS79" s="27">
        <v>180</v>
      </c>
      <c r="AT79" s="5">
        <f t="shared" si="5"/>
        <v>2034</v>
      </c>
      <c r="AU79" s="231">
        <f>(BA80-AS79-6)/4</f>
        <v>184</v>
      </c>
      <c r="AV79" s="5">
        <f>AV78</f>
        <v>2034</v>
      </c>
      <c r="AW79" s="5"/>
      <c r="AX79" s="5"/>
      <c r="AY79" s="5"/>
      <c r="AZ79" s="5"/>
      <c r="BA79" s="5">
        <f t="shared" si="7"/>
        <v>922</v>
      </c>
      <c r="BB79" s="29">
        <f t="shared" si="7"/>
        <v>2034</v>
      </c>
      <c r="BC79" s="27">
        <v>0</v>
      </c>
      <c r="BD79" s="5">
        <v>0</v>
      </c>
      <c r="BE79" s="5">
        <v>0</v>
      </c>
      <c r="BF79" s="29">
        <v>0</v>
      </c>
      <c r="BG79" s="27"/>
      <c r="BH79" s="5"/>
      <c r="BI79" s="29"/>
      <c r="BJ79" s="3">
        <v>0</v>
      </c>
      <c r="BN79" s="154"/>
    </row>
    <row r="80" spans="44:66">
      <c r="AR80" s="44">
        <v>913</v>
      </c>
      <c r="AS80" s="27">
        <v>180</v>
      </c>
      <c r="AT80" s="5">
        <f t="shared" si="5"/>
        <v>2034</v>
      </c>
      <c r="AU80" s="5">
        <f>AU79</f>
        <v>184</v>
      </c>
      <c r="AV80" s="5">
        <f>AV79</f>
        <v>2034</v>
      </c>
      <c r="AW80" s="5"/>
      <c r="AX80" s="5"/>
      <c r="AY80" s="5"/>
      <c r="AZ80" s="5"/>
      <c r="BA80" s="5">
        <f t="shared" si="7"/>
        <v>922</v>
      </c>
      <c r="BB80" s="29">
        <f t="shared" si="7"/>
        <v>2034</v>
      </c>
      <c r="BC80" s="27">
        <v>0</v>
      </c>
      <c r="BD80" s="5">
        <v>0</v>
      </c>
      <c r="BE80" s="5">
        <v>0</v>
      </c>
      <c r="BF80" s="29">
        <v>0</v>
      </c>
      <c r="BG80" s="27"/>
      <c r="BH80" s="5"/>
      <c r="BI80" s="29"/>
      <c r="BJ80" s="3">
        <v>0</v>
      </c>
      <c r="BN80" s="154"/>
    </row>
    <row r="81" spans="44:66">
      <c r="AR81" s="44">
        <v>914</v>
      </c>
      <c r="AS81" s="27">
        <f>AS75</f>
        <v>922</v>
      </c>
      <c r="AT81" s="5">
        <f>AT75</f>
        <v>2034</v>
      </c>
      <c r="AU81" s="5"/>
      <c r="AV81" s="5"/>
      <c r="AW81" s="5"/>
      <c r="AX81" s="5"/>
      <c r="AY81" s="5"/>
      <c r="AZ81" s="5"/>
      <c r="BA81" s="5"/>
      <c r="BB81" s="29"/>
      <c r="BC81" s="27">
        <v>0</v>
      </c>
      <c r="BD81" s="5">
        <v>0</v>
      </c>
      <c r="BE81" s="5">
        <v>0</v>
      </c>
      <c r="BF81" s="29">
        <v>0</v>
      </c>
      <c r="BG81" s="27"/>
      <c r="BH81" s="5"/>
      <c r="BI81" s="29"/>
      <c r="BJ81" s="3">
        <v>0</v>
      </c>
      <c r="BN81" s="154"/>
    </row>
    <row r="82" spans="44:66" ht="17.25" thickBot="1">
      <c r="AR82" s="227">
        <v>915</v>
      </c>
      <c r="AS82" s="61">
        <f>AS76</f>
        <v>922</v>
      </c>
      <c r="AT82" s="9">
        <f>AT76</f>
        <v>2034</v>
      </c>
      <c r="AU82" s="9"/>
      <c r="AV82" s="9"/>
      <c r="AW82" s="9"/>
      <c r="AX82" s="9"/>
      <c r="AY82" s="9"/>
      <c r="AZ82" s="9"/>
      <c r="BA82" s="9"/>
      <c r="BB82" s="63"/>
      <c r="BC82" s="61">
        <v>0</v>
      </c>
      <c r="BD82" s="9">
        <v>0</v>
      </c>
      <c r="BE82" s="9">
        <v>0</v>
      </c>
      <c r="BF82" s="63">
        <v>0</v>
      </c>
      <c r="BG82" s="61"/>
      <c r="BH82" s="9"/>
      <c r="BI82" s="63"/>
      <c r="BJ82" s="174"/>
      <c r="BK82" s="174"/>
      <c r="BL82" s="174"/>
      <c r="BM82" s="174"/>
      <c r="BN82" s="175"/>
    </row>
    <row r="83" spans="44:66">
      <c r="AR83" s="21">
        <v>313</v>
      </c>
      <c r="AS83" s="232">
        <f t="shared" ref="AS83:AX83" si="8">AS64</f>
        <v>240</v>
      </c>
      <c r="AT83" s="42">
        <f t="shared" si="8"/>
        <v>2034</v>
      </c>
      <c r="AU83" s="42">
        <f t="shared" si="8"/>
        <v>680</v>
      </c>
      <c r="AV83" s="42">
        <f t="shared" si="8"/>
        <v>2034</v>
      </c>
      <c r="AW83" s="42">
        <f t="shared" si="8"/>
        <v>922</v>
      </c>
      <c r="AX83" s="42">
        <f t="shared" si="8"/>
        <v>2034</v>
      </c>
      <c r="AY83" s="42"/>
      <c r="AZ83" s="42"/>
      <c r="BA83" s="42"/>
      <c r="BB83" s="42"/>
      <c r="BC83" s="42">
        <v>0</v>
      </c>
      <c r="BD83" s="42">
        <v>0</v>
      </c>
      <c r="BE83" s="42">
        <v>0</v>
      </c>
      <c r="BF83" s="42">
        <v>0</v>
      </c>
      <c r="BG83" s="42"/>
      <c r="BH83" s="42" t="s">
        <v>160</v>
      </c>
      <c r="BI83" s="43"/>
    </row>
    <row r="84" spans="44:66">
      <c r="AR84" s="44">
        <v>314</v>
      </c>
      <c r="AS84" s="233">
        <f>AS19</f>
        <v>240</v>
      </c>
      <c r="AT84" s="5">
        <f>AT19</f>
        <v>2034</v>
      </c>
      <c r="AU84" s="5">
        <f>AU19</f>
        <v>592</v>
      </c>
      <c r="AV84" s="5">
        <f>AV19</f>
        <v>2034</v>
      </c>
      <c r="AW84" s="5"/>
      <c r="AX84" s="5"/>
      <c r="AY84" s="5"/>
      <c r="AZ84" s="5"/>
      <c r="BA84" s="5"/>
      <c r="BB84" s="5"/>
      <c r="BC84" s="5">
        <v>1</v>
      </c>
      <c r="BD84" s="5">
        <v>0</v>
      </c>
      <c r="BE84" s="5">
        <v>0</v>
      </c>
      <c r="BF84" s="5">
        <v>0</v>
      </c>
      <c r="BG84" s="5">
        <v>100</v>
      </c>
      <c r="BH84" s="5" t="s">
        <v>161</v>
      </c>
      <c r="BI84" s="29"/>
    </row>
    <row r="85" spans="44:66">
      <c r="AR85" s="44">
        <v>315</v>
      </c>
      <c r="AS85" s="233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29"/>
    </row>
    <row r="86" spans="44:66">
      <c r="AR86" s="44">
        <v>316</v>
      </c>
      <c r="AS86" s="233">
        <f>AS84</f>
        <v>240</v>
      </c>
      <c r="AT86" s="5">
        <f>AT84</f>
        <v>2034</v>
      </c>
      <c r="AU86" s="5">
        <f>AU77</f>
        <v>680</v>
      </c>
      <c r="AV86" s="5">
        <f>ROUND((AT86-3)/3,0)</f>
        <v>677</v>
      </c>
      <c r="AW86" s="5">
        <f>AW83</f>
        <v>922</v>
      </c>
      <c r="AX86" s="5">
        <f>AX83</f>
        <v>2034</v>
      </c>
      <c r="AY86" s="5"/>
      <c r="AZ86" s="5"/>
      <c r="BA86" s="5"/>
      <c r="BB86" s="5"/>
      <c r="BC86" s="5"/>
      <c r="BD86" s="5"/>
      <c r="BE86" s="5"/>
      <c r="BF86" s="5"/>
      <c r="BG86" s="5"/>
      <c r="BH86" s="5" t="s">
        <v>162</v>
      </c>
      <c r="BI86" s="29"/>
    </row>
    <row r="87" spans="44:66">
      <c r="AR87" s="44">
        <v>317</v>
      </c>
      <c r="AS87" s="233">
        <f>AS84</f>
        <v>240</v>
      </c>
      <c r="AT87" s="5">
        <f>AT84</f>
        <v>2034</v>
      </c>
      <c r="AU87" s="5">
        <f>AU84</f>
        <v>592</v>
      </c>
      <c r="AV87" s="5">
        <f>AV84</f>
        <v>2034</v>
      </c>
      <c r="AW87" s="5"/>
      <c r="AX87" s="5"/>
      <c r="AY87" s="5"/>
      <c r="AZ87" s="5"/>
      <c r="BA87" s="5"/>
      <c r="BB87" s="5"/>
      <c r="BC87" s="5">
        <v>1</v>
      </c>
      <c r="BD87" s="5">
        <v>0</v>
      </c>
      <c r="BE87" s="5">
        <v>0</v>
      </c>
      <c r="BF87" s="5">
        <v>0</v>
      </c>
      <c r="BG87" s="5">
        <v>100</v>
      </c>
      <c r="BH87" s="5" t="s">
        <v>163</v>
      </c>
      <c r="BI87" s="29"/>
    </row>
    <row r="88" spans="44:66" ht="17.25" thickBot="1">
      <c r="AR88" s="44">
        <v>318</v>
      </c>
      <c r="AS88" s="233">
        <f>AS87</f>
        <v>240</v>
      </c>
      <c r="AT88" s="5">
        <f>AT87</f>
        <v>2034</v>
      </c>
      <c r="AU88" s="5">
        <f>AU87</f>
        <v>592</v>
      </c>
      <c r="AV88" s="5">
        <f>AV87</f>
        <v>2034</v>
      </c>
      <c r="AW88" s="5"/>
      <c r="AX88" s="5"/>
      <c r="AY88" s="5"/>
      <c r="AZ88" s="5"/>
      <c r="BA88" s="5"/>
      <c r="BB88" s="5"/>
      <c r="BC88" s="5">
        <v>1</v>
      </c>
      <c r="BD88" s="5">
        <v>0</v>
      </c>
      <c r="BE88" s="5">
        <v>0</v>
      </c>
      <c r="BF88" s="5">
        <v>0</v>
      </c>
      <c r="BG88" s="5">
        <v>100</v>
      </c>
      <c r="BH88" s="5" t="s">
        <v>164</v>
      </c>
      <c r="BI88" s="29"/>
    </row>
    <row r="89" spans="44:66">
      <c r="AR89" s="21">
        <v>319</v>
      </c>
      <c r="AS89" s="232">
        <f>AS84</f>
        <v>240</v>
      </c>
      <c r="AT89" s="232">
        <f t="shared" ref="AT89:BG89" si="9">AT84</f>
        <v>2034</v>
      </c>
      <c r="AU89" s="232">
        <f t="shared" si="9"/>
        <v>592</v>
      </c>
      <c r="AV89" s="232">
        <f t="shared" si="9"/>
        <v>2034</v>
      </c>
      <c r="AW89" s="232">
        <f t="shared" si="9"/>
        <v>0</v>
      </c>
      <c r="AX89" s="232">
        <f t="shared" si="9"/>
        <v>0</v>
      </c>
      <c r="AY89" s="232">
        <f t="shared" si="9"/>
        <v>0</v>
      </c>
      <c r="AZ89" s="232">
        <f t="shared" si="9"/>
        <v>0</v>
      </c>
      <c r="BA89" s="232">
        <f t="shared" si="9"/>
        <v>0</v>
      </c>
      <c r="BB89" s="232">
        <f t="shared" si="9"/>
        <v>0</v>
      </c>
      <c r="BC89" s="232">
        <f t="shared" si="9"/>
        <v>1</v>
      </c>
      <c r="BD89" s="232">
        <f t="shared" si="9"/>
        <v>0</v>
      </c>
      <c r="BE89" s="232">
        <f t="shared" si="9"/>
        <v>0</v>
      </c>
      <c r="BF89" s="232">
        <f t="shared" si="9"/>
        <v>0</v>
      </c>
      <c r="BG89" s="232">
        <f t="shared" si="9"/>
        <v>100</v>
      </c>
      <c r="BH89" s="5" t="s">
        <v>165</v>
      </c>
      <c r="BI89" s="43"/>
    </row>
    <row r="90" spans="44:66">
      <c r="AR90" s="44">
        <v>0</v>
      </c>
      <c r="AS90" s="233">
        <f>AS29</f>
        <v>922</v>
      </c>
      <c r="AT90" s="233">
        <f t="shared" ref="AT90:BB90" si="10">AT29</f>
        <v>2034</v>
      </c>
      <c r="AU90" s="233">
        <f t="shared" si="10"/>
        <v>0</v>
      </c>
      <c r="AV90" s="233">
        <f t="shared" si="10"/>
        <v>0</v>
      </c>
      <c r="AW90" s="233">
        <f t="shared" si="10"/>
        <v>0</v>
      </c>
      <c r="AX90" s="233">
        <f t="shared" si="10"/>
        <v>0</v>
      </c>
      <c r="AY90" s="233">
        <f t="shared" si="10"/>
        <v>0</v>
      </c>
      <c r="AZ90" s="233">
        <f t="shared" si="10"/>
        <v>0</v>
      </c>
      <c r="BA90" s="233">
        <f t="shared" si="10"/>
        <v>0</v>
      </c>
      <c r="BB90" s="233">
        <f t="shared" si="10"/>
        <v>0</v>
      </c>
      <c r="BC90" s="5"/>
      <c r="BD90" s="5"/>
      <c r="BE90" s="5"/>
      <c r="BF90" s="5"/>
      <c r="BG90" s="5"/>
      <c r="BH90" s="5"/>
      <c r="BI90" s="29"/>
    </row>
    <row r="91" spans="44:66">
      <c r="AR91" s="44">
        <v>320</v>
      </c>
      <c r="AS91" s="233">
        <f>AS72</f>
        <v>922</v>
      </c>
      <c r="AT91" s="233">
        <f t="shared" ref="AT91:BN91" si="11">AT72</f>
        <v>2034</v>
      </c>
      <c r="AU91" s="233">
        <f t="shared" si="11"/>
        <v>922</v>
      </c>
      <c r="AV91" s="233">
        <f t="shared" si="11"/>
        <v>765.5</v>
      </c>
      <c r="AW91" s="233">
        <f t="shared" si="11"/>
        <v>922</v>
      </c>
      <c r="AX91" s="233">
        <f t="shared" si="11"/>
        <v>500</v>
      </c>
      <c r="AY91" s="233">
        <f t="shared" si="11"/>
        <v>922</v>
      </c>
      <c r="AZ91" s="233">
        <f t="shared" si="11"/>
        <v>765.5</v>
      </c>
      <c r="BA91" s="233">
        <f t="shared" si="11"/>
        <v>0</v>
      </c>
      <c r="BB91" s="233">
        <f t="shared" si="11"/>
        <v>0</v>
      </c>
      <c r="BC91" s="233">
        <f t="shared" si="11"/>
        <v>0</v>
      </c>
      <c r="BD91" s="233">
        <f t="shared" si="11"/>
        <v>0</v>
      </c>
      <c r="BE91" s="233">
        <f t="shared" si="11"/>
        <v>0</v>
      </c>
      <c r="BF91" s="233">
        <f t="shared" si="11"/>
        <v>0</v>
      </c>
      <c r="BG91" s="233">
        <f t="shared" si="11"/>
        <v>0</v>
      </c>
      <c r="BH91" s="27" t="s">
        <v>166</v>
      </c>
      <c r="BI91" s="233">
        <f t="shared" si="11"/>
        <v>0</v>
      </c>
      <c r="BJ91" s="233">
        <f t="shared" si="11"/>
        <v>1</v>
      </c>
      <c r="BK91" s="233">
        <f t="shared" si="11"/>
        <v>970</v>
      </c>
      <c r="BL91" s="233">
        <f t="shared" si="11"/>
        <v>950</v>
      </c>
      <c r="BM91" s="233">
        <f t="shared" si="11"/>
        <v>960</v>
      </c>
      <c r="BN91" s="233">
        <f t="shared" si="11"/>
        <v>920</v>
      </c>
    </row>
    <row r="92" spans="44:66" ht="17.25" thickBot="1">
      <c r="AR92" s="44">
        <v>321</v>
      </c>
      <c r="AS92" s="233">
        <f>AS91</f>
        <v>922</v>
      </c>
      <c r="AT92" s="5">
        <f>AT91</f>
        <v>2034</v>
      </c>
      <c r="AU92" s="5">
        <f>AU91</f>
        <v>922</v>
      </c>
      <c r="AV92" s="5">
        <f>AV91-51.5</f>
        <v>714</v>
      </c>
      <c r="AW92" s="5">
        <f>AW91</f>
        <v>922</v>
      </c>
      <c r="AX92" s="5">
        <f>AX91</f>
        <v>500</v>
      </c>
      <c r="AY92" s="5">
        <f>AY91</f>
        <v>922</v>
      </c>
      <c r="AZ92" s="5">
        <f>AZ91-51.5</f>
        <v>714</v>
      </c>
      <c r="BA92" s="5">
        <f>AY92</f>
        <v>922</v>
      </c>
      <c r="BB92" s="5">
        <f>50</f>
        <v>50</v>
      </c>
      <c r="BC92" s="5"/>
      <c r="BD92" s="5"/>
      <c r="BE92" s="5"/>
      <c r="BF92" s="5"/>
      <c r="BG92" s="5"/>
      <c r="BH92" s="27" t="s">
        <v>167</v>
      </c>
      <c r="BI92" s="29">
        <f>BI91</f>
        <v>0</v>
      </c>
      <c r="BJ92" s="29">
        <f t="shared" ref="BJ92:BN92" si="12">BJ91</f>
        <v>1</v>
      </c>
      <c r="BK92" s="29">
        <f t="shared" si="12"/>
        <v>970</v>
      </c>
      <c r="BL92" s="29">
        <f t="shared" si="12"/>
        <v>950</v>
      </c>
      <c r="BM92" s="29">
        <f t="shared" si="12"/>
        <v>960</v>
      </c>
      <c r="BN92" s="29">
        <f t="shared" si="12"/>
        <v>920</v>
      </c>
    </row>
    <row r="93" spans="44:66" ht="17.25" thickBot="1">
      <c r="AR93" s="44">
        <v>322</v>
      </c>
      <c r="AS93" s="233">
        <f>AS77</f>
        <v>240</v>
      </c>
      <c r="AT93" s="233">
        <f t="shared" ref="AT93:BI93" si="13">AT77</f>
        <v>2034</v>
      </c>
      <c r="AU93" s="233">
        <f t="shared" si="13"/>
        <v>680</v>
      </c>
      <c r="AV93" s="233">
        <f t="shared" si="13"/>
        <v>2034</v>
      </c>
      <c r="AW93" s="233">
        <f t="shared" si="13"/>
        <v>0</v>
      </c>
      <c r="AX93" s="233">
        <f t="shared" si="13"/>
        <v>0</v>
      </c>
      <c r="AY93" s="233">
        <f t="shared" si="13"/>
        <v>0</v>
      </c>
      <c r="AZ93" s="233">
        <f t="shared" si="13"/>
        <v>0</v>
      </c>
      <c r="BA93" s="233">
        <f t="shared" si="13"/>
        <v>922</v>
      </c>
      <c r="BB93" s="233">
        <f t="shared" si="13"/>
        <v>2034</v>
      </c>
      <c r="BC93" s="233">
        <f t="shared" si="13"/>
        <v>0</v>
      </c>
      <c r="BD93" s="233">
        <f t="shared" si="13"/>
        <v>0</v>
      </c>
      <c r="BE93" s="233">
        <f t="shared" si="13"/>
        <v>0</v>
      </c>
      <c r="BF93" s="233">
        <f t="shared" si="13"/>
        <v>0</v>
      </c>
      <c r="BG93" s="233">
        <f t="shared" si="13"/>
        <v>0</v>
      </c>
      <c r="BH93" s="42" t="s">
        <v>168</v>
      </c>
      <c r="BI93" s="233">
        <f t="shared" si="13"/>
        <v>0</v>
      </c>
    </row>
    <row r="94" spans="44:66">
      <c r="AR94" s="44">
        <v>323</v>
      </c>
      <c r="AS94" s="233">
        <f>AS77</f>
        <v>240</v>
      </c>
      <c r="AT94" s="233">
        <f t="shared" ref="AT94:BG94" si="14">AT77</f>
        <v>2034</v>
      </c>
      <c r="AU94" s="233">
        <f t="shared" si="14"/>
        <v>680</v>
      </c>
      <c r="AV94" s="233">
        <f t="shared" si="14"/>
        <v>2034</v>
      </c>
      <c r="AW94" s="233">
        <f t="shared" si="14"/>
        <v>0</v>
      </c>
      <c r="AX94" s="233">
        <f t="shared" si="14"/>
        <v>0</v>
      </c>
      <c r="AY94" s="233">
        <f t="shared" si="14"/>
        <v>0</v>
      </c>
      <c r="AZ94" s="233">
        <f t="shared" si="14"/>
        <v>0</v>
      </c>
      <c r="BA94" s="233">
        <f t="shared" si="14"/>
        <v>922</v>
      </c>
      <c r="BB94" s="233">
        <f t="shared" si="14"/>
        <v>2034</v>
      </c>
      <c r="BC94" s="233">
        <f t="shared" si="14"/>
        <v>0</v>
      </c>
      <c r="BD94" s="233">
        <f t="shared" si="14"/>
        <v>0</v>
      </c>
      <c r="BE94" s="233">
        <f t="shared" si="14"/>
        <v>0</v>
      </c>
      <c r="BF94" s="233">
        <f t="shared" si="14"/>
        <v>0</v>
      </c>
      <c r="BG94" s="233">
        <f t="shared" si="14"/>
        <v>0</v>
      </c>
      <c r="BH94" s="42" t="s">
        <v>169</v>
      </c>
      <c r="BI94" s="29"/>
    </row>
    <row r="95" spans="44:66">
      <c r="AR95" s="44"/>
      <c r="AS95" s="233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29"/>
    </row>
    <row r="96" spans="44:66">
      <c r="AR96" s="44"/>
      <c r="AS96" s="233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29"/>
    </row>
    <row r="97" spans="44:61">
      <c r="AR97" s="44"/>
      <c r="AS97" s="233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29"/>
    </row>
    <row r="98" spans="44:61">
      <c r="AR98" s="44"/>
      <c r="AS98" s="233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29"/>
    </row>
    <row r="99" spans="44:61">
      <c r="AR99" s="44"/>
      <c r="AS99" s="233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29"/>
    </row>
    <row r="100" spans="44:61">
      <c r="AR100" s="44"/>
      <c r="AS100" s="233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29"/>
    </row>
    <row r="101" spans="44:61" ht="17.25" thickBot="1">
      <c r="AR101" s="105"/>
      <c r="AS101" s="234"/>
      <c r="AT101" s="146"/>
      <c r="AU101" s="146"/>
      <c r="AV101" s="146"/>
      <c r="AW101" s="146"/>
      <c r="AX101" s="146"/>
      <c r="AY101" s="146"/>
      <c r="AZ101" s="146"/>
      <c r="BA101" s="146"/>
      <c r="BB101" s="146"/>
      <c r="BC101" s="146"/>
      <c r="BD101" s="146"/>
      <c r="BE101" s="146"/>
      <c r="BF101" s="146"/>
      <c r="BG101" s="146"/>
      <c r="BH101" s="146"/>
      <c r="BI101" s="70"/>
    </row>
  </sheetData>
  <mergeCells count="173">
    <mergeCell ref="Y49:AA49"/>
    <mergeCell ref="AB49:AD49"/>
    <mergeCell ref="AE49:AG49"/>
    <mergeCell ref="AH49:AJ49"/>
    <mergeCell ref="V47:AI47"/>
    <mergeCell ref="A48:A49"/>
    <mergeCell ref="B48:C49"/>
    <mergeCell ref="D48:E49"/>
    <mergeCell ref="F48:F49"/>
    <mergeCell ref="G48:H49"/>
    <mergeCell ref="V48:AA48"/>
    <mergeCell ref="AB48:AG48"/>
    <mergeCell ref="AH48:AJ48"/>
    <mergeCell ref="V49:X49"/>
    <mergeCell ref="A44:A45"/>
    <mergeCell ref="B44:H45"/>
    <mergeCell ref="A46:A47"/>
    <mergeCell ref="B46:E47"/>
    <mergeCell ref="F46:F47"/>
    <mergeCell ref="G46:H47"/>
    <mergeCell ref="B35:C36"/>
    <mergeCell ref="E35:E36"/>
    <mergeCell ref="F35:H36"/>
    <mergeCell ref="F37:H38"/>
    <mergeCell ref="F39:H40"/>
    <mergeCell ref="A40:D41"/>
    <mergeCell ref="F41:H42"/>
    <mergeCell ref="F28:F29"/>
    <mergeCell ref="M28:O28"/>
    <mergeCell ref="B29:C30"/>
    <mergeCell ref="C32:D32"/>
    <mergeCell ref="F32:H32"/>
    <mergeCell ref="F33:H34"/>
    <mergeCell ref="F25:G25"/>
    <mergeCell ref="M25:O25"/>
    <mergeCell ref="F26:G26"/>
    <mergeCell ref="K26:K27"/>
    <mergeCell ref="B27:C27"/>
    <mergeCell ref="F27:G27"/>
    <mergeCell ref="M27:O27"/>
    <mergeCell ref="AF23:AH23"/>
    <mergeCell ref="AI23:AK23"/>
    <mergeCell ref="F24:G24"/>
    <mergeCell ref="T24:V24"/>
    <mergeCell ref="W24:Y24"/>
    <mergeCell ref="Z24:AB24"/>
    <mergeCell ref="AC24:AE24"/>
    <mergeCell ref="AF24:AH24"/>
    <mergeCell ref="AI24:AK24"/>
    <mergeCell ref="K23:K25"/>
    <mergeCell ref="Q23:S24"/>
    <mergeCell ref="T23:V23"/>
    <mergeCell ref="W23:Y23"/>
    <mergeCell ref="Z23:AB23"/>
    <mergeCell ref="AC23:AE23"/>
    <mergeCell ref="T22:V22"/>
    <mergeCell ref="W22:Y22"/>
    <mergeCell ref="Z22:AB22"/>
    <mergeCell ref="AC22:AE22"/>
    <mergeCell ref="AF22:AH22"/>
    <mergeCell ref="AI22:AK22"/>
    <mergeCell ref="T21:V21"/>
    <mergeCell ref="W21:Y21"/>
    <mergeCell ref="Z21:AB21"/>
    <mergeCell ref="AC21:AE21"/>
    <mergeCell ref="AF21:AH21"/>
    <mergeCell ref="AI21:AK21"/>
    <mergeCell ref="T20:V20"/>
    <mergeCell ref="W20:Y20"/>
    <mergeCell ref="Z20:AB20"/>
    <mergeCell ref="AC20:AE20"/>
    <mergeCell ref="AF20:AH20"/>
    <mergeCell ref="AI20:AK20"/>
    <mergeCell ref="T19:V19"/>
    <mergeCell ref="W19:Y19"/>
    <mergeCell ref="Z19:AB19"/>
    <mergeCell ref="AC19:AE19"/>
    <mergeCell ref="AF19:AH19"/>
    <mergeCell ref="AI19:AK19"/>
    <mergeCell ref="D17:G17"/>
    <mergeCell ref="D18:G18"/>
    <mergeCell ref="A19:A21"/>
    <mergeCell ref="B19:F19"/>
    <mergeCell ref="G19:H19"/>
    <mergeCell ref="Q19:S20"/>
    <mergeCell ref="Q21:S22"/>
    <mergeCell ref="A22:A27"/>
    <mergeCell ref="D22:E23"/>
    <mergeCell ref="F23:H23"/>
    <mergeCell ref="Z15:AB15"/>
    <mergeCell ref="D16:G16"/>
    <mergeCell ref="Q16:S16"/>
    <mergeCell ref="T16:V16"/>
    <mergeCell ref="W16:Y16"/>
    <mergeCell ref="Z16:AB16"/>
    <mergeCell ref="AF12:AH12"/>
    <mergeCell ref="D13:G13"/>
    <mergeCell ref="M13:M16"/>
    <mergeCell ref="Q13:AD13"/>
    <mergeCell ref="D14:G14"/>
    <mergeCell ref="D15:E15"/>
    <mergeCell ref="F15:G15"/>
    <mergeCell ref="Q15:S15"/>
    <mergeCell ref="T15:V15"/>
    <mergeCell ref="W15:Y15"/>
    <mergeCell ref="B12:C12"/>
    <mergeCell ref="D12:G12"/>
    <mergeCell ref="Q12:S12"/>
    <mergeCell ref="T12:V12"/>
    <mergeCell ref="W12:Y12"/>
    <mergeCell ref="Z12:AB12"/>
    <mergeCell ref="BQ10:BR10"/>
    <mergeCell ref="BT10:BU10"/>
    <mergeCell ref="E11:J11"/>
    <mergeCell ref="Q11:S11"/>
    <mergeCell ref="T11:V11"/>
    <mergeCell ref="W11:Y11"/>
    <mergeCell ref="Z11:AB11"/>
    <mergeCell ref="AC11:AE11"/>
    <mergeCell ref="AF11:AH11"/>
    <mergeCell ref="W7:Y7"/>
    <mergeCell ref="Z7:AB7"/>
    <mergeCell ref="AC7:AE7"/>
    <mergeCell ref="E8:G8"/>
    <mergeCell ref="K8:K17"/>
    <mergeCell ref="E9:G9"/>
    <mergeCell ref="L10:L11"/>
    <mergeCell ref="M10:M11"/>
    <mergeCell ref="Q10:AD10"/>
    <mergeCell ref="AC12:AE12"/>
    <mergeCell ref="AC5:AE5"/>
    <mergeCell ref="BQ5:BS5"/>
    <mergeCell ref="BT5:BV5"/>
    <mergeCell ref="E6:G6"/>
    <mergeCell ref="Q6:S6"/>
    <mergeCell ref="T6:V6"/>
    <mergeCell ref="W6:Y6"/>
    <mergeCell ref="Z6:AB6"/>
    <mergeCell ref="AC6:AE6"/>
    <mergeCell ref="AC3:AE3"/>
    <mergeCell ref="AF3:AH3"/>
    <mergeCell ref="AI3:AK3"/>
    <mergeCell ref="AS3:BB3"/>
    <mergeCell ref="BR3:BT3"/>
    <mergeCell ref="E4:G4"/>
    <mergeCell ref="BQ4:BS4"/>
    <mergeCell ref="BT4:BV4"/>
    <mergeCell ref="A3:A10"/>
    <mergeCell ref="E3:G3"/>
    <mergeCell ref="Q3:S3"/>
    <mergeCell ref="T3:V3"/>
    <mergeCell ref="W3:Y3"/>
    <mergeCell ref="Z3:AB3"/>
    <mergeCell ref="Q5:AB5"/>
    <mergeCell ref="E7:G7"/>
    <mergeCell ref="Q7:S7"/>
    <mergeCell ref="T7:V7"/>
    <mergeCell ref="Z2:AB2"/>
    <mergeCell ref="AC2:AE2"/>
    <mergeCell ref="AF2:AH2"/>
    <mergeCell ref="AI2:AK2"/>
    <mergeCell ref="BH2:BJ2"/>
    <mergeCell ref="BK2:BM2"/>
    <mergeCell ref="A1:G2"/>
    <mergeCell ref="H1:H2"/>
    <mergeCell ref="Q1:AD1"/>
    <mergeCell ref="K2:K6"/>
    <mergeCell ref="L2:L5"/>
    <mergeCell ref="M2:M5"/>
    <mergeCell ref="N2:N5"/>
    <mergeCell ref="Q2:S2"/>
    <mergeCell ref="T2:V2"/>
    <mergeCell ref="W2:Y2"/>
  </mergeCells>
  <phoneticPr fontId="3" type="noConversion"/>
  <conditionalFormatting sqref="G10">
    <cfRule type="containsText" dxfId="2" priority="1" operator="containsText" text="없음">
      <formula>NOT(ISERROR(SEARCH("없음",G10)))</formula>
    </cfRule>
    <cfRule type="containsText" dxfId="1" priority="2" operator="containsText" text="변경">
      <formula>NOT(ISERROR(SEARCH("변경",G10)))</formula>
    </cfRule>
    <cfRule type="containsText" dxfId="0" priority="3" operator="containsText" text="없음">
      <formula>NOT(ISERROR(SEARCH("없음",G10)))</formula>
    </cfRule>
  </conditionalFormatting>
  <dataValidations count="5">
    <dataValidation type="list" allowBlank="1" showInputMessage="1" showErrorMessage="1" sqref="G10" xr:uid="{1D9209F1-2947-4BFF-838A-0D9EAC6866DC}">
      <formula1>"없음, 변경"</formula1>
    </dataValidation>
    <dataValidation type="list" allowBlank="1" showInputMessage="1" showErrorMessage="1" sqref="G5" xr:uid="{7128CB01-5227-4CB2-B486-CB2738E08471}">
      <formula1>"유리,판"</formula1>
    </dataValidation>
    <dataValidation type="list" allowBlank="1" showInputMessage="1" showErrorMessage="1" sqref="C9" xr:uid="{73BFF8FE-F4A0-4BAA-9E01-E968A047102B}">
      <formula1>"아니요,예"</formula1>
    </dataValidation>
    <dataValidation type="list" allowBlank="1" showInputMessage="1" showErrorMessage="1" sqref="C8" xr:uid="{43110F1D-18A1-4D45-8507-5DF15A4470A4}">
      <formula1>"좌,우,양"</formula1>
    </dataValidation>
    <dataValidation type="list" allowBlank="1" showInputMessage="1" showErrorMessage="1" promptTitle="좌,우,양" sqref="C7" xr:uid="{36F74884-1571-4F50-BF77-4EC59F9F37F2}">
      <formula1>"좌,우,양,없음"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희수 임</dc:creator>
  <cp:lastModifiedBy>희수 임</cp:lastModifiedBy>
  <dcterms:created xsi:type="dcterms:W3CDTF">2026-06-02T03:28:02Z</dcterms:created>
  <dcterms:modified xsi:type="dcterms:W3CDTF">2026-06-02T03:28:38Z</dcterms:modified>
</cp:coreProperties>
</file>